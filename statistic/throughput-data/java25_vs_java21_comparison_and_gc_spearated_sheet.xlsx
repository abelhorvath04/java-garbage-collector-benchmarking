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H_BURGENLAND\6_SEM\BACHELORARBEIT\renaissance\data-experiment\statistic\throughput-data\"/>
    </mc:Choice>
  </mc:AlternateContent>
  <xr:revisionPtr revIDLastSave="0" documentId="13_ncr:1_{80C9A075-B9CE-4A3E-A555-9C85275813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iginal" sheetId="1" r:id="rId1"/>
    <sheet name="G1GC" sheetId="2" r:id="rId2"/>
    <sheet name="ZG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" l="1" a="1"/>
  <c r="K56" i="1" s="1"/>
  <c r="J56" i="1" a="1"/>
  <c r="J56" i="1" s="1"/>
  <c r="I56" i="1" a="1"/>
  <c r="I56" i="1" s="1"/>
  <c r="H56" i="1"/>
  <c r="H56" i="1" a="1"/>
  <c r="G56" i="1" a="1"/>
  <c r="G56" i="1" s="1"/>
  <c r="F56" i="1" a="1"/>
  <c r="F56" i="1" s="1"/>
  <c r="E56" i="1" a="1"/>
  <c r="E56" i="1" s="1"/>
  <c r="D56" i="1" a="1"/>
  <c r="D56" i="1" s="1"/>
  <c r="C56" i="1" a="1"/>
  <c r="C56" i="1" s="1"/>
  <c r="K55" i="1" a="1"/>
  <c r="K55" i="1" s="1"/>
  <c r="J55" i="1" a="1"/>
  <c r="J55" i="1" s="1"/>
  <c r="I55" i="1" a="1"/>
  <c r="I55" i="1" s="1"/>
  <c r="H55" i="1" a="1"/>
  <c r="H55" i="1" s="1"/>
  <c r="G55" i="1" a="1"/>
  <c r="G55" i="1" s="1"/>
  <c r="F55" i="1" a="1"/>
  <c r="F55" i="1" s="1"/>
  <c r="E55" i="1" a="1"/>
  <c r="E55" i="1" s="1"/>
  <c r="D55" i="1" a="1"/>
  <c r="D55" i="1" s="1"/>
  <c r="C55" i="1" a="1"/>
  <c r="C55" i="1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C28" i="3" a="1"/>
  <c r="C28" i="3" s="1"/>
  <c r="D28" i="2" a="1"/>
  <c r="D28" i="2" s="1"/>
  <c r="E28" i="2" a="1"/>
  <c r="E28" i="2" s="1"/>
  <c r="F28" i="2" a="1"/>
  <c r="F28" i="2" s="1"/>
  <c r="G28" i="2" a="1"/>
  <c r="G28" i="2"/>
  <c r="H28" i="2" a="1"/>
  <c r="H28" i="2" s="1"/>
  <c r="I28" i="2" a="1"/>
  <c r="I28" i="2" s="1"/>
  <c r="J28" i="2" a="1"/>
  <c r="J28" i="2" s="1"/>
  <c r="K28" i="2" a="1"/>
  <c r="K28" i="2" s="1"/>
  <c r="C28" i="2" a="1"/>
  <c r="C2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<sst xmlns="http://schemas.openxmlformats.org/spreadsheetml/2006/main" count="1146" uniqueCount="480">
  <si>
    <t>benchmark</t>
  </si>
  <si>
    <t>gc</t>
  </si>
  <si>
    <t>duration_java21_ms</t>
  </si>
  <si>
    <t>duration_java25_ms</t>
  </si>
  <si>
    <t>duration_change_percent_java25_vs_java21</t>
  </si>
  <si>
    <t>stw_java21_ms</t>
  </si>
  <si>
    <t>stw_java25_ms</t>
  </si>
  <si>
    <t>stw_change_percent_java25_vs_java21</t>
  </si>
  <si>
    <t>stw_overhead_java21_percent</t>
  </si>
  <si>
    <t>stw_overhead_java25_percent</t>
  </si>
  <si>
    <t>stw_overhead_diff_percentage_points</t>
  </si>
  <si>
    <t>akka-uct</t>
  </si>
  <si>
    <t>G1GC</t>
  </si>
  <si>
    <t>310273,18387</t>
  </si>
  <si>
    <t>303508,994546</t>
  </si>
  <si>
    <t>-2,1800753902193923</t>
  </si>
  <si>
    <t>5177,575</t>
  </si>
  <si>
    <t>5124,295</t>
  </si>
  <si>
    <t>-1,029053176438772</t>
  </si>
  <si>
    <t>1,668715</t>
  </si>
  <si>
    <t>1,68835</t>
  </si>
  <si>
    <t>0,01963500000000007</t>
  </si>
  <si>
    <t>ZGC</t>
  </si>
  <si>
    <t>312841,91775</t>
  </si>
  <si>
    <t>316951,059083</t>
  </si>
  <si>
    <t>1,3134880909033737</t>
  </si>
  <si>
    <t>0,774</t>
  </si>
  <si>
    <t>1,010000</t>
  </si>
  <si>
    <t>30,490956072351416</t>
  </si>
  <si>
    <t>0,000247</t>
  </si>
  <si>
    <t>0,000319</t>
  </si>
  <si>
    <t>0,000072</t>
  </si>
  <si>
    <t>als</t>
  </si>
  <si>
    <t>307579,573531</t>
  </si>
  <si>
    <t>308209,477054</t>
  </si>
  <si>
    <t>0,20479367851666827</t>
  </si>
  <si>
    <t>2263,569</t>
  </si>
  <si>
    <t>2280,829</t>
  </si>
  <si>
    <t>0,7625126514809232</t>
  </si>
  <si>
    <t>0,73593</t>
  </si>
  <si>
    <t>0,740026</t>
  </si>
  <si>
    <t>0,0040959999999999885</t>
  </si>
  <si>
    <t>305484,172644</t>
  </si>
  <si>
    <t>304505,09309</t>
  </si>
  <si>
    <t>-0,3205009102520606</t>
  </si>
  <si>
    <t>0,328</t>
  </si>
  <si>
    <t>0,52</t>
  </si>
  <si>
    <t>58,536585365853654</t>
  </si>
  <si>
    <t>0,000107</t>
  </si>
  <si>
    <t>0,000171</t>
  </si>
  <si>
    <t>0,000064</t>
  </si>
  <si>
    <t>chi-square</t>
  </si>
  <si>
    <t>308890,4142</t>
  </si>
  <si>
    <t>308925,023683</t>
  </si>
  <si>
    <t>0,011204453556657978</t>
  </si>
  <si>
    <t>1906,774</t>
  </si>
  <si>
    <t>1800,417</t>
  </si>
  <si>
    <t>-5,5778503377956685</t>
  </si>
  <si>
    <t>0,617298</t>
  </si>
  <si>
    <t>0,582801</t>
  </si>
  <si>
    <t>-0,034497</t>
  </si>
  <si>
    <t>309044,956342</t>
  </si>
  <si>
    <t>308834,17932</t>
  </si>
  <si>
    <t>-0,06820270568232199</t>
  </si>
  <si>
    <t>0,177</t>
  </si>
  <si>
    <t>0,217</t>
  </si>
  <si>
    <t>22,59887005649718</t>
  </si>
  <si>
    <t>0,000057</t>
  </si>
  <si>
    <t>0,00007</t>
  </si>
  <si>
    <t>0,000013</t>
  </si>
  <si>
    <t>db-shootout</t>
  </si>
  <si>
    <t>321244,158646</t>
  </si>
  <si>
    <t>314734,263654</t>
  </si>
  <si>
    <t>-2,0264633042475633</t>
  </si>
  <si>
    <t>1958,46</t>
  </si>
  <si>
    <t>1860,941</t>
  </si>
  <si>
    <t>-4,979371547031851</t>
  </si>
  <si>
    <t>0,609648</t>
  </si>
  <si>
    <t>0,591274</t>
  </si>
  <si>
    <t>-0,018374</t>
  </si>
  <si>
    <t>319853,643398</t>
  </si>
  <si>
    <t>314634,106061</t>
  </si>
  <si>
    <t>-1,6318517686869642</t>
  </si>
  <si>
    <t>0,646</t>
  </si>
  <si>
    <t>0,618</t>
  </si>
  <si>
    <t>-4,334365325077403</t>
  </si>
  <si>
    <t>0,000202</t>
  </si>
  <si>
    <t>0,000196</t>
  </si>
  <si>
    <t>-0,000006</t>
  </si>
  <si>
    <t>dec-tree</t>
  </si>
  <si>
    <t>309392,433014</t>
  </si>
  <si>
    <t>308402,801112</t>
  </si>
  <si>
    <t>-0,3198629948248323</t>
  </si>
  <si>
    <t>2010,939</t>
  </si>
  <si>
    <t>2064,135</t>
  </si>
  <si>
    <t>2,6453313601257986</t>
  </si>
  <si>
    <t>0,649964</t>
  </si>
  <si>
    <t>0,669298</t>
  </si>
  <si>
    <t>0,019333999999999962</t>
  </si>
  <si>
    <t>308592,477546</t>
  </si>
  <si>
    <t>309647,533333</t>
  </si>
  <si>
    <t>0,34189290529377137</t>
  </si>
  <si>
    <t>0,232</t>
  </si>
  <si>
    <t>0,167</t>
  </si>
  <si>
    <t>-28,01724137931034</t>
  </si>
  <si>
    <t>0,000075</t>
  </si>
  <si>
    <t>0,000054</t>
  </si>
  <si>
    <t>-0,000021</t>
  </si>
  <si>
    <t>dotty</t>
  </si>
  <si>
    <t>164340,900338</t>
  </si>
  <si>
    <t>163460,61557</t>
  </si>
  <si>
    <t>-0,5356455795176551</t>
  </si>
  <si>
    <t>989,352</t>
  </si>
  <si>
    <t>3087,956</t>
  </si>
  <si>
    <t>212,11904357599724</t>
  </si>
  <si>
    <t>0,602012</t>
  </si>
  <si>
    <t>1,889113</t>
  </si>
  <si>
    <t>1,287101</t>
  </si>
  <si>
    <t>172348,800328</t>
  </si>
  <si>
    <t>172034,899211</t>
  </si>
  <si>
    <t>-0,1821313037297681</t>
  </si>
  <si>
    <t>0,472</t>
  </si>
  <si>
    <t>0,437</t>
  </si>
  <si>
    <t>-7,415254237288131</t>
  </si>
  <si>
    <t>0,000274</t>
  </si>
  <si>
    <t>0,000254</t>
  </si>
  <si>
    <t>-0,00002</t>
  </si>
  <si>
    <t>finagle-chirper</t>
  </si>
  <si>
    <t>304396,744225</t>
  </si>
  <si>
    <t>305951,443383</t>
  </si>
  <si>
    <t>0,5107476303527153</t>
  </si>
  <si>
    <t>1175,529</t>
  </si>
  <si>
    <t>1021,972</t>
  </si>
  <si>
    <t>-13,062799811829398</t>
  </si>
  <si>
    <t>0,386183</t>
  </si>
  <si>
    <t>0,334031</t>
  </si>
  <si>
    <t>-0,052151999999999976</t>
  </si>
  <si>
    <t>307000,364069</t>
  </si>
  <si>
    <t>306418,353422</t>
  </si>
  <si>
    <t>-0,18957979048818918</t>
  </si>
  <si>
    <t>0,318</t>
  </si>
  <si>
    <t>0,346</t>
  </si>
  <si>
    <t>8,80503144654087</t>
  </si>
  <si>
    <t>0,000104</t>
  </si>
  <si>
    <t>0,000113</t>
  </si>
  <si>
    <t>0,000009</t>
  </si>
  <si>
    <t>finagle-http</t>
  </si>
  <si>
    <t>309232,825167</t>
  </si>
  <si>
    <t>307108,969797</t>
  </si>
  <si>
    <t>-0,686814334426827</t>
  </si>
  <si>
    <t>1480,207</t>
  </si>
  <si>
    <t>1314,734</t>
  </si>
  <si>
    <t>-11,179044552552458</t>
  </si>
  <si>
    <t>0,478671</t>
  </si>
  <si>
    <t>0,4281</t>
  </si>
  <si>
    <t>-0,05057100000000003</t>
  </si>
  <si>
    <t>307341,304635</t>
  </si>
  <si>
    <t>304806,734642</t>
  </si>
  <si>
    <t>-0,8246760050719766</t>
  </si>
  <si>
    <t>0,496</t>
  </si>
  <si>
    <t>0,4</t>
  </si>
  <si>
    <t>-19,354838709677413</t>
  </si>
  <si>
    <t>0,000161</t>
  </si>
  <si>
    <t>0,000131</t>
  </si>
  <si>
    <t>-0,00003</t>
  </si>
  <si>
    <t>fj-kmeans</t>
  </si>
  <si>
    <t>303377,199518</t>
  </si>
  <si>
    <t>302566,342187</t>
  </si>
  <si>
    <t>-0,2672769516919236</t>
  </si>
  <si>
    <t>2041,998</t>
  </si>
  <si>
    <t>1896,21</t>
  </si>
  <si>
    <t>-7,139478099390891</t>
  </si>
  <si>
    <t>0,673089</t>
  </si>
  <si>
    <t>0,626709</t>
  </si>
  <si>
    <t>-0,04638000000000009</t>
  </si>
  <si>
    <t>308490,49553</t>
  </si>
  <si>
    <t>304928,446676</t>
  </si>
  <si>
    <t>-1,1546705346238428</t>
  </si>
  <si>
    <t>0,419</t>
  </si>
  <si>
    <t>0,549</t>
  </si>
  <si>
    <t>31,026252983293574</t>
  </si>
  <si>
    <t>0,000136</t>
  </si>
  <si>
    <t>0,00018</t>
  </si>
  <si>
    <t>0,000044</t>
  </si>
  <si>
    <t>future-genetic</t>
  </si>
  <si>
    <t>302201,654961</t>
  </si>
  <si>
    <t>302722,942087</t>
  </si>
  <si>
    <t>0,1724964497852451</t>
  </si>
  <si>
    <t>807,108</t>
  </si>
  <si>
    <t>932,401</t>
  </si>
  <si>
    <t>15,52369695257636</t>
  </si>
  <si>
    <t>0,267076</t>
  </si>
  <si>
    <t>0,308005</t>
  </si>
  <si>
    <t>0,04092899999999999</t>
  </si>
  <si>
    <t>302672,347853</t>
  </si>
  <si>
    <t>303187,012092</t>
  </si>
  <si>
    <t>0,17004005904429834</t>
  </si>
  <si>
    <t>0,855</t>
  </si>
  <si>
    <t>0,829</t>
  </si>
  <si>
    <t>-3,040935672514623</t>
  </si>
  <si>
    <t>0,000282</t>
  </si>
  <si>
    <t>0,000273</t>
  </si>
  <si>
    <t>-0,000009</t>
  </si>
  <si>
    <t>gauss-mix</t>
  </si>
  <si>
    <t>312756,952662</t>
  </si>
  <si>
    <t>317999,334231</t>
  </si>
  <si>
    <t>1,6761838623825773</t>
  </si>
  <si>
    <t>1773,022</t>
  </si>
  <si>
    <t>1547,218</t>
  </si>
  <si>
    <t>-12,735544172604731</t>
  </si>
  <si>
    <t>0,566901</t>
  </si>
  <si>
    <t>0,486548</t>
  </si>
  <si>
    <t>-0,08035300000000001</t>
  </si>
  <si>
    <t>309867,299731</t>
  </si>
  <si>
    <t>318063,340811</t>
  </si>
  <si>
    <t>2,6450164593408503</t>
  </si>
  <si>
    <t>0,134</t>
  </si>
  <si>
    <t>0,175</t>
  </si>
  <si>
    <t>30,597014925373117</t>
  </si>
  <si>
    <t>0,000043</t>
  </si>
  <si>
    <t>0,000055</t>
  </si>
  <si>
    <t>0,000012</t>
  </si>
  <si>
    <t>log-regression</t>
  </si>
  <si>
    <t>309275,307419</t>
  </si>
  <si>
    <t>309365,570305</t>
  </si>
  <si>
    <t>0,029185286970775163</t>
  </si>
  <si>
    <t>2127,932</t>
  </si>
  <si>
    <t>1608,544</t>
  </si>
  <si>
    <t>-24,408110785495012</t>
  </si>
  <si>
    <t>0,688038</t>
  </si>
  <si>
    <t>0,519949</t>
  </si>
  <si>
    <t>-0,16808900000000004</t>
  </si>
  <si>
    <t>308902,636342</t>
  </si>
  <si>
    <t>315442,555796</t>
  </si>
  <si>
    <t>2,1171458850093394</t>
  </si>
  <si>
    <t>0,341</t>
  </si>
  <si>
    <t>0,0</t>
  </si>
  <si>
    <t>-100,0</t>
  </si>
  <si>
    <t>0,00011</t>
  </si>
  <si>
    <t>-0,00011</t>
  </si>
  <si>
    <t>mnemonics</t>
  </si>
  <si>
    <t>281866,182456</t>
  </si>
  <si>
    <t>280359,374939</t>
  </si>
  <si>
    <t>-0,5345825823696408</t>
  </si>
  <si>
    <t>1777,231</t>
  </si>
  <si>
    <t>1767,904</t>
  </si>
  <si>
    <t>-0,5248051603871415</t>
  </si>
  <si>
    <t>0,630523</t>
  </si>
  <si>
    <t>0,630585</t>
  </si>
  <si>
    <t>0,000062</t>
  </si>
  <si>
    <t>281279,555078</t>
  </si>
  <si>
    <t>283634,446491</t>
  </si>
  <si>
    <t>0,8372067469841467</t>
  </si>
  <si>
    <t>0,481</t>
  </si>
  <si>
    <t>0,567</t>
  </si>
  <si>
    <t>17,879417879417872</t>
  </si>
  <si>
    <t>0,0002</t>
  </si>
  <si>
    <t>0,000029</t>
  </si>
  <si>
    <t>movie-lens</t>
  </si>
  <si>
    <t>331154,431194</t>
  </si>
  <si>
    <t>327060,543483</t>
  </si>
  <si>
    <t>-1,2362472989532995</t>
  </si>
  <si>
    <t>1963,426</t>
  </si>
  <si>
    <t>1650,026</t>
  </si>
  <si>
    <t>-15,961895177103688</t>
  </si>
  <si>
    <t>0,592903</t>
  </si>
  <si>
    <t>0,504502</t>
  </si>
  <si>
    <t>-0,08840099999999995</t>
  </si>
  <si>
    <t>322641,801244</t>
  </si>
  <si>
    <t>328857,24352</t>
  </si>
  <si>
    <t>1,9264218870696102</t>
  </si>
  <si>
    <t>0,424</t>
  </si>
  <si>
    <t>0,482</t>
  </si>
  <si>
    <t>13,679245283018867</t>
  </si>
  <si>
    <t>0,000147</t>
  </si>
  <si>
    <t>0,000016</t>
  </si>
  <si>
    <t>naive-bayes</t>
  </si>
  <si>
    <t>310866,269024</t>
  </si>
  <si>
    <t>309686,658774</t>
  </si>
  <si>
    <t>-0,3794590689120082</t>
  </si>
  <si>
    <t>2475,14</t>
  </si>
  <si>
    <t>2518,474</t>
  </si>
  <si>
    <t>1,7507696534337567</t>
  </si>
  <si>
    <t>0,796207</t>
  </si>
  <si>
    <t>0,813233</t>
  </si>
  <si>
    <t>0,017025999999999986</t>
  </si>
  <si>
    <t>310851,777473</t>
  </si>
  <si>
    <t>309585,353309</t>
  </si>
  <si>
    <t>-0,4074045110164977</t>
  </si>
  <si>
    <t>0,573</t>
  </si>
  <si>
    <t>0,524</t>
  </si>
  <si>
    <t>-8,551483420593357</t>
  </si>
  <si>
    <t>0,000184</t>
  </si>
  <si>
    <t>0,000169</t>
  </si>
  <si>
    <t>-0,000015</t>
  </si>
  <si>
    <t>neo4j-analytics</t>
  </si>
  <si>
    <t>325857,139465</t>
  </si>
  <si>
    <t>332728,414162</t>
  </si>
  <si>
    <t>2,108677044265904</t>
  </si>
  <si>
    <t>1885,946</t>
  </si>
  <si>
    <t>1834,662</t>
  </si>
  <si>
    <t>-2,7192719197686404</t>
  </si>
  <si>
    <t>0,578765</t>
  </si>
  <si>
    <t>0,551399</t>
  </si>
  <si>
    <t>-0,027366</t>
  </si>
  <si>
    <t>332255,886441</t>
  </si>
  <si>
    <t>332824,64711</t>
  </si>
  <si>
    <t>0,17118151768276843</t>
  </si>
  <si>
    <t>0,357</t>
  </si>
  <si>
    <t>0,364</t>
  </si>
  <si>
    <t>1,960784313725492</t>
  </si>
  <si>
    <t>0,000109</t>
  </si>
  <si>
    <t>0,000002</t>
  </si>
  <si>
    <t>page-rank</t>
  </si>
  <si>
    <t>209097,548463</t>
  </si>
  <si>
    <t>208142,365048</t>
  </si>
  <si>
    <t>-0,4568123452528317</t>
  </si>
  <si>
    <t>12558,241</t>
  </si>
  <si>
    <t>13186,6</t>
  </si>
  <si>
    <t>5,003559017540756</t>
  </si>
  <si>
    <t>6,005925</t>
  </si>
  <si>
    <t>6,335375</t>
  </si>
  <si>
    <t>0,3294499999999996</t>
  </si>
  <si>
    <t>207527,707115</t>
  </si>
  <si>
    <t>205638,593174</t>
  </si>
  <si>
    <t>-0,9102948070221533</t>
  </si>
  <si>
    <t>0,455</t>
  </si>
  <si>
    <t>0,409</t>
  </si>
  <si>
    <t>-10,109890109890118</t>
  </si>
  <si>
    <t>0,000219</t>
  </si>
  <si>
    <t>0,000199</t>
  </si>
  <si>
    <t>par-mnemonics</t>
  </si>
  <si>
    <t>274735,849635</t>
  </si>
  <si>
    <t>274029,185748</t>
  </si>
  <si>
    <t>-0,2572157539465053</t>
  </si>
  <si>
    <t>2000,966</t>
  </si>
  <si>
    <t>1688,761</t>
  </si>
  <si>
    <t>-15,602713889191518</t>
  </si>
  <si>
    <t>0,728324</t>
  </si>
  <si>
    <t>0,61627</t>
  </si>
  <si>
    <t>-0,11205399999999999</t>
  </si>
  <si>
    <t>276683,938603</t>
  </si>
  <si>
    <t>279159,686877</t>
  </si>
  <si>
    <t>0,8947929129895328</t>
  </si>
  <si>
    <t>0,298</t>
  </si>
  <si>
    <t>0,366</t>
  </si>
  <si>
    <t>22,81879194630873</t>
  </si>
  <si>
    <t>0,000108</t>
  </si>
  <si>
    <t>0,000023</t>
  </si>
  <si>
    <t>philosophers</t>
  </si>
  <si>
    <t>302891,500068</t>
  </si>
  <si>
    <t>303259,770302</t>
  </si>
  <si>
    <t>0,12158486914202553</t>
  </si>
  <si>
    <t>1726,443</t>
  </si>
  <si>
    <t>1923,903</t>
  </si>
  <si>
    <t>11,437388897287661</t>
  </si>
  <si>
    <t>0,569987</t>
  </si>
  <si>
    <t>0,634408</t>
  </si>
  <si>
    <t>0,06442099999999995</t>
  </si>
  <si>
    <t>302720,089057</t>
  </si>
  <si>
    <t>302031,21666</t>
  </si>
  <si>
    <t>-0,2275608464393384</t>
  </si>
  <si>
    <t>0,425</t>
  </si>
  <si>
    <t>0,375</t>
  </si>
  <si>
    <t>-11,764705882352938</t>
  </si>
  <si>
    <t>0,00014</t>
  </si>
  <si>
    <t>0,000124</t>
  </si>
  <si>
    <t>-0,000016</t>
  </si>
  <si>
    <t>reactors</t>
  </si>
  <si>
    <t>309935,741956</t>
  </si>
  <si>
    <t>316834,755749</t>
  </si>
  <si>
    <t>2,225949724113922</t>
  </si>
  <si>
    <t>1381,02</t>
  </si>
  <si>
    <t>1389,169</t>
  </si>
  <si>
    <t>0,5900711068630515</t>
  </si>
  <si>
    <t>0,445583</t>
  </si>
  <si>
    <t>0,438452</t>
  </si>
  <si>
    <t>-0,0071309999999999985</t>
  </si>
  <si>
    <t>307071,130744</t>
  </si>
  <si>
    <t>309204,784006</t>
  </si>
  <si>
    <t>0,6948400707127168</t>
  </si>
  <si>
    <t>0,583</t>
  </si>
  <si>
    <t>10,806174957118364</t>
  </si>
  <si>
    <t>0,00019</t>
  </si>
  <si>
    <t>0,000209</t>
  </si>
  <si>
    <t>0,000019</t>
  </si>
  <si>
    <t>rx-scrabble</t>
  </si>
  <si>
    <t>291058,090868</t>
  </si>
  <si>
    <t>290894,894777</t>
  </si>
  <si>
    <t>-0,05606993796781379</t>
  </si>
  <si>
    <t>1381,654</t>
  </si>
  <si>
    <t>1504,657</t>
  </si>
  <si>
    <t>8,902590663074832</t>
  </si>
  <si>
    <t>0,4747</t>
  </si>
  <si>
    <t>0,517251</t>
  </si>
  <si>
    <t>0,042551000000000005</t>
  </si>
  <si>
    <t>288710,834085</t>
  </si>
  <si>
    <t>288663,107972</t>
  </si>
  <si>
    <t>-0,016530766208067614</t>
  </si>
  <si>
    <t>0,392</t>
  </si>
  <si>
    <t>14,956011730205274</t>
  </si>
  <si>
    <t>0,000118</t>
  </si>
  <si>
    <t>0,000018</t>
  </si>
  <si>
    <t>scala-doku</t>
  </si>
  <si>
    <t>301628,46827</t>
  </si>
  <si>
    <t>303900,431548</t>
  </si>
  <si>
    <t>0,7532323759195975</t>
  </si>
  <si>
    <t>191,258</t>
  </si>
  <si>
    <t>288,337</t>
  </si>
  <si>
    <t>50,75813822166915</t>
  </si>
  <si>
    <t>0,063408</t>
  </si>
  <si>
    <t>0,094879</t>
  </si>
  <si>
    <t>0,031471</t>
  </si>
  <si>
    <t>304359,887714</t>
  </si>
  <si>
    <t>302050,840054</t>
  </si>
  <si>
    <t>-0,7586570219035562</t>
  </si>
  <si>
    <t>1,926</t>
  </si>
  <si>
    <t>2,788</t>
  </si>
  <si>
    <t>44,75597092419522</t>
  </si>
  <si>
    <t>0,000633</t>
  </si>
  <si>
    <t>0,000923</t>
  </si>
  <si>
    <t>0,00029</t>
  </si>
  <si>
    <t>scala-kmeans</t>
  </si>
  <si>
    <t>301052,043197</t>
  </si>
  <si>
    <t>301234,064917</t>
  </si>
  <si>
    <t>0,06046187830750212</t>
  </si>
  <si>
    <t>333,332</t>
  </si>
  <si>
    <t>257,941</t>
  </si>
  <si>
    <t>-22,617390469561887</t>
  </si>
  <si>
    <t>0,110722</t>
  </si>
  <si>
    <t>0,085628</t>
  </si>
  <si>
    <t>-0,025094000000000005</t>
  </si>
  <si>
    <t>301104,518384</t>
  </si>
  <si>
    <t>301242,528523</t>
  </si>
  <si>
    <t>0,04583462903204097</t>
  </si>
  <si>
    <t>0,879</t>
  </si>
  <si>
    <t>3,273</t>
  </si>
  <si>
    <t>272,35494880546077</t>
  </si>
  <si>
    <t>0,000292</t>
  </si>
  <si>
    <t>0,001086</t>
  </si>
  <si>
    <t>0,000794</t>
  </si>
  <si>
    <t>scala-stm-bench7</t>
  </si>
  <si>
    <t>301938,152174</t>
  </si>
  <si>
    <t>301813,396593</t>
  </si>
  <si>
    <t>-0,04131825676939002</t>
  </si>
  <si>
    <t>17841,158</t>
  </si>
  <si>
    <t>15542,042</t>
  </si>
  <si>
    <t>-12,88658505238281</t>
  </si>
  <si>
    <t>5,908878</t>
  </si>
  <si>
    <t>5,149553</t>
  </si>
  <si>
    <t>-0,7593249999999996</t>
  </si>
  <si>
    <t>301714,187977</t>
  </si>
  <si>
    <t>302343,652112</t>
  </si>
  <si>
    <t>0,208629278994312</t>
  </si>
  <si>
    <t>1,089</t>
  </si>
  <si>
    <t>1,414</t>
  </si>
  <si>
    <t>29,843893480257112</t>
  </si>
  <si>
    <t>0,000361</t>
  </si>
  <si>
    <t>0,000468</t>
  </si>
  <si>
    <t>scrabble</t>
  </si>
  <si>
    <t>301872,08685</t>
  </si>
  <si>
    <t>301892,117287</t>
  </si>
  <si>
    <t>0,006635405482167862</t>
  </si>
  <si>
    <t>2336,901</t>
  </si>
  <si>
    <t>2525,422</t>
  </si>
  <si>
    <t>8,067136776440261</t>
  </si>
  <si>
    <t>0,774136</t>
  </si>
  <si>
    <t>0,836531</t>
  </si>
  <si>
    <t>0,06239499999999998</t>
  </si>
  <si>
    <t>302037,553584</t>
  </si>
  <si>
    <t>302287,834743</t>
  </si>
  <si>
    <t>0,08286425182238129</t>
  </si>
  <si>
    <t>0,51</t>
  </si>
  <si>
    <t>0,811</t>
  </si>
  <si>
    <t>59,019607843137265</t>
  </si>
  <si>
    <t>0,000268</t>
  </si>
  <si>
    <t>0,000099</t>
  </si>
  <si>
    <t>ZGC Mittelwert</t>
  </si>
  <si>
    <t>G1GC MITTELWERT</t>
  </si>
  <si>
    <t>G1GC Mittelwert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</si>
</sst>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0"/>
      <color rgb="FFFFFFFF"/>
      <name val="Calibri"/>
      <family val="2"/>
      <charset val="238"/>
    </font>
    <font>
      <sz val="10"/>
      <name val="Calibri"/>
      <family val="2"/>
      <charset val="238"/>
    </font>
    <font>
      <sz val="11"/>
      <name val="Carlito"/>
      <family val="2"/>
      <charset val="238"/>
    </font>
    <font>
      <b/>
      <sz val="14"/>
      <name val="Carlito"/>
      <family val="2"/>
      <charset val="238"/>
    </font>
    <font>
      <b/>
      <sz val="14"/>
      <color theme="0"/>
      <name val="Carlito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49" fontId="1" fillId="2" borderId="0" xfId="1" applyNumberFormat="1" applyFont="1" applyFill="1" applyAlignment="1">
      <alignment horizontal="center" vertical="center"/>
    </xf>
    <xf numFmtId="49" fontId="2" fillId="0" borderId="0" xfId="1" applyNumberFormat="1" applyFont="1"/>
    <xf numFmtId="0" fontId="3" fillId="0" borderId="0" xfId="0" applyFont="1"/>
    <xf numFmtId="2" fontId="2" fillId="0" borderId="0" xfId="1" applyNumberFormat="1" applyFont="1"/>
    <xf numFmtId="0" fontId="4" fillId="3" borderId="0" xfId="0" applyFont="1" applyFill="1"/>
    <xf numFmtId="0" fontId="5" fillId="4" borderId="0" xfId="0" applyFont="1" applyFill="1"/>
  </cellXfs>
  <cellStyles count="2">
    <cellStyle name="Normal" xfId="1" xr:uid="{00000000-0005-0000-0000-000000000000}"/>
    <cellStyle name="Standard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iginal_Table" displayName="Original_Table" ref="A1:K54">
  <tableColumns count="11">
    <tableColumn id="1" xr3:uid="{00000000-0010-0000-0000-000001000000}" name="benchmark"/>
    <tableColumn id="2" xr3:uid="{00000000-0010-0000-0000-000002000000}" name="gc"/>
    <tableColumn id="3" xr3:uid="{00000000-0010-0000-0000-000003000000}" name="duration_java21_ms"/>
    <tableColumn id="4" xr3:uid="{00000000-0010-0000-0000-000004000000}" name="duration_java25_ms"/>
    <tableColumn id="5" xr3:uid="{00000000-0010-0000-0000-000005000000}" name="duration_change_percent_java25_vs_java21"/>
    <tableColumn id="6" xr3:uid="{00000000-0010-0000-0000-000006000000}" name="stw_java21_ms"/>
    <tableColumn id="7" xr3:uid="{00000000-0010-0000-0000-000007000000}" name="stw_java25_ms"/>
    <tableColumn id="8" xr3:uid="{00000000-0010-0000-0000-000008000000}" name="stw_change_percent_java25_vs_java21"/>
    <tableColumn id="9" xr3:uid="{00000000-0010-0000-0000-000009000000}" name="stw_overhead_java21_percent"/>
    <tableColumn id="10" xr3:uid="{00000000-0010-0000-0000-00000A000000}" name="stw_overhead_java25_percent"/>
    <tableColumn id="11" xr3:uid="{00000000-0010-0000-0000-00000B000000}" name="stw_overhead_diff_percentage_po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1GC_Table" displayName="G1GC_Table" ref="A1:K26">
  <tableColumns count="11">
    <tableColumn id="1" xr3:uid="{00000000-0010-0000-0100-000001000000}" name="benchmark"/>
    <tableColumn id="2" xr3:uid="{00000000-0010-0000-0100-000002000000}" name="gc"/>
    <tableColumn id="3" xr3:uid="{00000000-0010-0000-0100-000003000000}" name="duration_java21_ms" dataDxfId="8"/>
    <tableColumn id="4" xr3:uid="{00000000-0010-0000-0100-000004000000}" name="duration_java25_ms" dataDxfId="7"/>
    <tableColumn id="5" xr3:uid="{00000000-0010-0000-0100-000005000000}" name="duration_change_percent_java25_vs_java21" dataDxfId="6"/>
    <tableColumn id="6" xr3:uid="{00000000-0010-0000-0100-000006000000}" name="stw_java21_ms" dataDxfId="5"/>
    <tableColumn id="7" xr3:uid="{00000000-0010-0000-0100-000007000000}" name="stw_java25_ms" dataDxfId="4"/>
    <tableColumn id="8" xr3:uid="{00000000-0010-0000-0100-000008000000}" name="stw_change_percent_java25_vs_java21" dataDxfId="3"/>
    <tableColumn id="9" xr3:uid="{00000000-0010-0000-0100-000009000000}" name="stw_overhead_java21_percent" dataDxfId="2"/>
    <tableColumn id="10" xr3:uid="{00000000-0010-0000-0100-00000A000000}" name="stw_overhead_java25_percent" dataDxfId="1"/>
    <tableColumn id="11" xr3:uid="{00000000-0010-0000-0100-00000B000000}" name="stw_overhead_diff_percentage_point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ZGC_Table" displayName="ZGC_Table" ref="A1:K26">
  <tableColumns count="11">
    <tableColumn id="1" xr3:uid="{00000000-0010-0000-0200-000001000000}" name="benchmark"/>
    <tableColumn id="2" xr3:uid="{00000000-0010-0000-0200-000002000000}" name="gc"/>
    <tableColumn id="3" xr3:uid="{00000000-0010-0000-0200-000003000000}" name="duration_java21_ms"/>
    <tableColumn id="4" xr3:uid="{00000000-0010-0000-0200-000004000000}" name="duration_java25_ms"/>
    <tableColumn id="5" xr3:uid="{00000000-0010-0000-0200-000005000000}" name="duration_change_percent_java25_vs_java21"/>
    <tableColumn id="6" xr3:uid="{00000000-0010-0000-0200-000006000000}" name="stw_java21_ms"/>
    <tableColumn id="7" xr3:uid="{00000000-0010-0000-0200-000007000000}" name="stw_java25_ms"/>
    <tableColumn id="8" xr3:uid="{00000000-0010-0000-0200-000008000000}" name="stw_change_percent_java25_vs_java21"/>
    <tableColumn id="9" xr3:uid="{00000000-0010-0000-0200-000009000000}" name="stw_overhead_java21_percent"/>
    <tableColumn id="10" xr3:uid="{00000000-0010-0000-0200-00000A000000}" name="stw_overhead_java25_percent"/>
    <tableColumn id="11" xr3:uid="{00000000-0010-0000-0200-00000B000000}" name="stw_overhead_diff_percentage_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G41" workbookViewId="0">
      <selection activeCell="O60" sqref="O60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11" width="20" customWidth="1"/>
  </cols>
  <sheetData>
    <row r="1" spans="1:11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2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x14ac:dyDescent="0.3">
      <c r="A4" s="2" t="s">
        <v>32</v>
      </c>
      <c r="B4" s="2" t="s">
        <v>12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x14ac:dyDescent="0.3">
      <c r="A5" s="2" t="s">
        <v>32</v>
      </c>
      <c r="B5" s="2" t="s">
        <v>22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 spans="1:11" x14ac:dyDescent="0.3">
      <c r="A6" s="2" t="s">
        <v>51</v>
      </c>
      <c r="B6" s="2" t="s">
        <v>12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</row>
    <row r="7" spans="1:11" x14ac:dyDescent="0.3">
      <c r="A7" s="2" t="s">
        <v>51</v>
      </c>
      <c r="B7" s="2" t="s">
        <v>22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1" x14ac:dyDescent="0.3">
      <c r="A8" s="2" t="s">
        <v>70</v>
      </c>
      <c r="B8" s="2" t="s">
        <v>12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1" x14ac:dyDescent="0.3">
      <c r="A9" s="2" t="s">
        <v>70</v>
      </c>
      <c r="B9" s="2" t="s">
        <v>22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88</v>
      </c>
    </row>
    <row r="10" spans="1:11" x14ac:dyDescent="0.3">
      <c r="A10" s="2" t="s">
        <v>89</v>
      </c>
      <c r="B10" s="2" t="s">
        <v>12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x14ac:dyDescent="0.3">
      <c r="A11" s="2" t="s">
        <v>89</v>
      </c>
      <c r="B11" s="2" t="s">
        <v>22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106</v>
      </c>
      <c r="K11" s="2" t="s">
        <v>107</v>
      </c>
    </row>
    <row r="12" spans="1:11" x14ac:dyDescent="0.3">
      <c r="A12" s="2" t="s">
        <v>108</v>
      </c>
      <c r="B12" s="2" t="s">
        <v>12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117</v>
      </c>
    </row>
    <row r="13" spans="1:11" x14ac:dyDescent="0.3">
      <c r="A13" s="2" t="s">
        <v>108</v>
      </c>
      <c r="B13" s="2" t="s">
        <v>22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123</v>
      </c>
      <c r="I13" s="2" t="s">
        <v>124</v>
      </c>
      <c r="J13" s="2" t="s">
        <v>125</v>
      </c>
      <c r="K13" s="2" t="s">
        <v>126</v>
      </c>
    </row>
    <row r="14" spans="1:11" x14ac:dyDescent="0.3">
      <c r="A14" s="2" t="s">
        <v>127</v>
      </c>
      <c r="B14" s="2" t="s">
        <v>12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s="2" t="s">
        <v>135</v>
      </c>
      <c r="K14" s="2" t="s">
        <v>136</v>
      </c>
    </row>
    <row r="15" spans="1:11" x14ac:dyDescent="0.3">
      <c r="A15" s="2" t="s">
        <v>127</v>
      </c>
      <c r="B15" s="2" t="s">
        <v>22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143</v>
      </c>
      <c r="J15" s="2" t="s">
        <v>144</v>
      </c>
      <c r="K15" s="2" t="s">
        <v>145</v>
      </c>
    </row>
    <row r="16" spans="1:11" x14ac:dyDescent="0.3">
      <c r="A16" s="2" t="s">
        <v>146</v>
      </c>
      <c r="B16" s="2" t="s">
        <v>12</v>
      </c>
      <c r="C16" s="2" t="s">
        <v>147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 t="s">
        <v>153</v>
      </c>
      <c r="J16" s="2" t="s">
        <v>154</v>
      </c>
      <c r="K16" s="2" t="s">
        <v>155</v>
      </c>
    </row>
    <row r="17" spans="1:11" x14ac:dyDescent="0.3">
      <c r="A17" s="2" t="s">
        <v>146</v>
      </c>
      <c r="B17" s="2" t="s">
        <v>22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  <c r="H17" s="2" t="s">
        <v>161</v>
      </c>
      <c r="I17" s="2" t="s">
        <v>162</v>
      </c>
      <c r="J17" s="2" t="s">
        <v>163</v>
      </c>
      <c r="K17" s="2" t="s">
        <v>164</v>
      </c>
    </row>
    <row r="18" spans="1:11" x14ac:dyDescent="0.3">
      <c r="A18" s="2" t="s">
        <v>165</v>
      </c>
      <c r="B18" s="2" t="s">
        <v>12</v>
      </c>
      <c r="C18" s="2" t="s">
        <v>166</v>
      </c>
      <c r="D18" s="2" t="s">
        <v>167</v>
      </c>
      <c r="E18" s="2" t="s">
        <v>168</v>
      </c>
      <c r="F18" s="2" t="s">
        <v>169</v>
      </c>
      <c r="G18" s="2" t="s">
        <v>170</v>
      </c>
      <c r="H18" s="2" t="s">
        <v>171</v>
      </c>
      <c r="I18" s="2" t="s">
        <v>172</v>
      </c>
      <c r="J18" s="2" t="s">
        <v>173</v>
      </c>
      <c r="K18" s="2" t="s">
        <v>174</v>
      </c>
    </row>
    <row r="19" spans="1:11" x14ac:dyDescent="0.3">
      <c r="A19" s="2" t="s">
        <v>165</v>
      </c>
      <c r="B19" s="2" t="s">
        <v>22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  <c r="H19" s="2" t="s">
        <v>180</v>
      </c>
      <c r="I19" s="2" t="s">
        <v>181</v>
      </c>
      <c r="J19" s="2" t="s">
        <v>182</v>
      </c>
      <c r="K19" s="2" t="s">
        <v>183</v>
      </c>
    </row>
    <row r="20" spans="1:11" x14ac:dyDescent="0.3">
      <c r="A20" s="2" t="s">
        <v>184</v>
      </c>
      <c r="B20" s="2" t="s">
        <v>12</v>
      </c>
      <c r="C20" s="2" t="s">
        <v>185</v>
      </c>
      <c r="D20" s="2" t="s">
        <v>186</v>
      </c>
      <c r="E20" s="2" t="s">
        <v>187</v>
      </c>
      <c r="F20" s="2" t="s">
        <v>188</v>
      </c>
      <c r="G20" s="2" t="s">
        <v>189</v>
      </c>
      <c r="H20" s="2" t="s">
        <v>190</v>
      </c>
      <c r="I20" s="2" t="s">
        <v>191</v>
      </c>
      <c r="J20" s="2" t="s">
        <v>192</v>
      </c>
      <c r="K20" s="2" t="s">
        <v>193</v>
      </c>
    </row>
    <row r="21" spans="1:11" x14ac:dyDescent="0.3">
      <c r="A21" s="2" t="s">
        <v>184</v>
      </c>
      <c r="B21" s="2" t="s">
        <v>22</v>
      </c>
      <c r="C21" s="2" t="s">
        <v>194</v>
      </c>
      <c r="D21" s="2" t="s">
        <v>195</v>
      </c>
      <c r="E21" s="2" t="s">
        <v>196</v>
      </c>
      <c r="F21" s="2" t="s">
        <v>197</v>
      </c>
      <c r="G21" s="2" t="s">
        <v>198</v>
      </c>
      <c r="H21" s="2" t="s">
        <v>199</v>
      </c>
      <c r="I21" s="2" t="s">
        <v>200</v>
      </c>
      <c r="J21" s="2" t="s">
        <v>201</v>
      </c>
      <c r="K21" s="2" t="s">
        <v>202</v>
      </c>
    </row>
    <row r="22" spans="1:11" x14ac:dyDescent="0.3">
      <c r="A22" s="2" t="s">
        <v>203</v>
      </c>
      <c r="B22" s="2" t="s">
        <v>12</v>
      </c>
      <c r="C22" s="2" t="s">
        <v>204</v>
      </c>
      <c r="D22" s="2" t="s">
        <v>205</v>
      </c>
      <c r="E22" s="2" t="s">
        <v>206</v>
      </c>
      <c r="F22" s="2" t="s">
        <v>207</v>
      </c>
      <c r="G22" s="2" t="s">
        <v>208</v>
      </c>
      <c r="H22" s="2" t="s">
        <v>209</v>
      </c>
      <c r="I22" s="2" t="s">
        <v>210</v>
      </c>
      <c r="J22" s="2" t="s">
        <v>211</v>
      </c>
      <c r="K22" s="2" t="s">
        <v>212</v>
      </c>
    </row>
    <row r="23" spans="1:11" x14ac:dyDescent="0.3">
      <c r="A23" s="2" t="s">
        <v>203</v>
      </c>
      <c r="B23" s="2" t="s">
        <v>22</v>
      </c>
      <c r="C23" s="2" t="s">
        <v>213</v>
      </c>
      <c r="D23" s="2" t="s">
        <v>214</v>
      </c>
      <c r="E23" s="2" t="s">
        <v>215</v>
      </c>
      <c r="F23" s="2" t="s">
        <v>216</v>
      </c>
      <c r="G23" s="2" t="s">
        <v>217</v>
      </c>
      <c r="H23" s="2" t="s">
        <v>218</v>
      </c>
      <c r="I23" s="2" t="s">
        <v>219</v>
      </c>
      <c r="J23" s="2" t="s">
        <v>220</v>
      </c>
      <c r="K23" s="2" t="s">
        <v>221</v>
      </c>
    </row>
    <row r="24" spans="1:11" x14ac:dyDescent="0.3">
      <c r="A24" s="2" t="s">
        <v>222</v>
      </c>
      <c r="B24" s="2" t="s">
        <v>12</v>
      </c>
      <c r="C24" s="2" t="s">
        <v>223</v>
      </c>
      <c r="D24" s="2" t="s">
        <v>224</v>
      </c>
      <c r="E24" s="2" t="s">
        <v>225</v>
      </c>
      <c r="F24" s="2" t="s">
        <v>226</v>
      </c>
      <c r="G24" s="2" t="s">
        <v>227</v>
      </c>
      <c r="H24" s="2" t="s">
        <v>228</v>
      </c>
      <c r="I24" s="2" t="s">
        <v>229</v>
      </c>
      <c r="J24" s="2" t="s">
        <v>230</v>
      </c>
      <c r="K24" s="2" t="s">
        <v>231</v>
      </c>
    </row>
    <row r="25" spans="1:11" x14ac:dyDescent="0.3">
      <c r="A25" s="2" t="s">
        <v>222</v>
      </c>
      <c r="B25" s="2" t="s">
        <v>22</v>
      </c>
      <c r="C25" s="2" t="s">
        <v>232</v>
      </c>
      <c r="D25" s="2" t="s">
        <v>233</v>
      </c>
      <c r="E25" s="2" t="s">
        <v>234</v>
      </c>
      <c r="F25" s="2" t="s">
        <v>235</v>
      </c>
      <c r="G25" s="2" t="s">
        <v>236</v>
      </c>
      <c r="H25" s="2" t="s">
        <v>237</v>
      </c>
      <c r="I25" s="2" t="s">
        <v>238</v>
      </c>
      <c r="J25" s="2" t="s">
        <v>236</v>
      </c>
      <c r="K25" s="2" t="s">
        <v>239</v>
      </c>
    </row>
    <row r="26" spans="1:11" x14ac:dyDescent="0.3">
      <c r="A26" s="2" t="s">
        <v>240</v>
      </c>
      <c r="B26" s="2" t="s">
        <v>12</v>
      </c>
      <c r="C26" s="2" t="s">
        <v>241</v>
      </c>
      <c r="D26" s="2" t="s">
        <v>242</v>
      </c>
      <c r="E26" s="2" t="s">
        <v>243</v>
      </c>
      <c r="F26" s="2" t="s">
        <v>244</v>
      </c>
      <c r="G26" s="2" t="s">
        <v>245</v>
      </c>
      <c r="H26" s="2" t="s">
        <v>246</v>
      </c>
      <c r="I26" s="2" t="s">
        <v>247</v>
      </c>
      <c r="J26" s="2" t="s">
        <v>248</v>
      </c>
      <c r="K26" s="2" t="s">
        <v>249</v>
      </c>
    </row>
    <row r="27" spans="1:11" x14ac:dyDescent="0.3">
      <c r="A27" s="2" t="s">
        <v>240</v>
      </c>
      <c r="B27" s="2" t="s">
        <v>22</v>
      </c>
      <c r="C27" s="2" t="s">
        <v>250</v>
      </c>
      <c r="D27" s="2" t="s">
        <v>251</v>
      </c>
      <c r="E27" s="2" t="s">
        <v>252</v>
      </c>
      <c r="F27" s="2" t="s">
        <v>253</v>
      </c>
      <c r="G27" s="2" t="s">
        <v>254</v>
      </c>
      <c r="H27" s="2" t="s">
        <v>255</v>
      </c>
      <c r="I27" s="2" t="s">
        <v>49</v>
      </c>
      <c r="J27" s="2" t="s">
        <v>256</v>
      </c>
      <c r="K27" s="2" t="s">
        <v>257</v>
      </c>
    </row>
    <row r="28" spans="1:11" x14ac:dyDescent="0.3">
      <c r="A28" s="2" t="s">
        <v>258</v>
      </c>
      <c r="B28" s="2" t="s">
        <v>12</v>
      </c>
      <c r="C28" s="2" t="s">
        <v>259</v>
      </c>
      <c r="D28" s="2" t="s">
        <v>260</v>
      </c>
      <c r="E28" s="2" t="s">
        <v>261</v>
      </c>
      <c r="F28" s="2" t="s">
        <v>262</v>
      </c>
      <c r="G28" s="2" t="s">
        <v>263</v>
      </c>
      <c r="H28" s="2" t="s">
        <v>264</v>
      </c>
      <c r="I28" s="2" t="s">
        <v>265</v>
      </c>
      <c r="J28" s="2" t="s">
        <v>266</v>
      </c>
      <c r="K28" s="2" t="s">
        <v>267</v>
      </c>
    </row>
    <row r="29" spans="1:11" x14ac:dyDescent="0.3">
      <c r="A29" s="2" t="s">
        <v>258</v>
      </c>
      <c r="B29" s="2" t="s">
        <v>22</v>
      </c>
      <c r="C29" s="2" t="s">
        <v>268</v>
      </c>
      <c r="D29" s="2" t="s">
        <v>269</v>
      </c>
      <c r="E29" s="2" t="s">
        <v>270</v>
      </c>
      <c r="F29" s="2" t="s">
        <v>271</v>
      </c>
      <c r="G29" s="2" t="s">
        <v>272</v>
      </c>
      <c r="H29" s="2" t="s">
        <v>273</v>
      </c>
      <c r="I29" s="2" t="s">
        <v>163</v>
      </c>
      <c r="J29" s="2" t="s">
        <v>274</v>
      </c>
      <c r="K29" s="2" t="s">
        <v>275</v>
      </c>
    </row>
    <row r="30" spans="1:11" x14ac:dyDescent="0.3">
      <c r="A30" s="2" t="s">
        <v>276</v>
      </c>
      <c r="B30" s="2" t="s">
        <v>12</v>
      </c>
      <c r="C30" s="2" t="s">
        <v>277</v>
      </c>
      <c r="D30" s="2" t="s">
        <v>278</v>
      </c>
      <c r="E30" s="2" t="s">
        <v>279</v>
      </c>
      <c r="F30" s="2" t="s">
        <v>280</v>
      </c>
      <c r="G30" s="2" t="s">
        <v>281</v>
      </c>
      <c r="H30" s="2" t="s">
        <v>282</v>
      </c>
      <c r="I30" s="2" t="s">
        <v>283</v>
      </c>
      <c r="J30" s="2" t="s">
        <v>284</v>
      </c>
      <c r="K30" s="2" t="s">
        <v>285</v>
      </c>
    </row>
    <row r="31" spans="1:11" x14ac:dyDescent="0.3">
      <c r="A31" s="2" t="s">
        <v>276</v>
      </c>
      <c r="B31" s="2" t="s">
        <v>22</v>
      </c>
      <c r="C31" s="2" t="s">
        <v>286</v>
      </c>
      <c r="D31" s="2" t="s">
        <v>287</v>
      </c>
      <c r="E31" s="2" t="s">
        <v>288</v>
      </c>
      <c r="F31" s="2" t="s">
        <v>289</v>
      </c>
      <c r="G31" s="2" t="s">
        <v>290</v>
      </c>
      <c r="H31" s="2" t="s">
        <v>291</v>
      </c>
      <c r="I31" s="2" t="s">
        <v>292</v>
      </c>
      <c r="J31" s="2" t="s">
        <v>293</v>
      </c>
      <c r="K31" s="2" t="s">
        <v>294</v>
      </c>
    </row>
    <row r="32" spans="1:11" x14ac:dyDescent="0.3">
      <c r="A32" s="2" t="s">
        <v>295</v>
      </c>
      <c r="B32" s="2" t="s">
        <v>12</v>
      </c>
      <c r="C32" s="2" t="s">
        <v>296</v>
      </c>
      <c r="D32" s="2" t="s">
        <v>297</v>
      </c>
      <c r="E32" s="2" t="s">
        <v>298</v>
      </c>
      <c r="F32" s="2" t="s">
        <v>299</v>
      </c>
      <c r="G32" s="2" t="s">
        <v>300</v>
      </c>
      <c r="H32" s="2" t="s">
        <v>301</v>
      </c>
      <c r="I32" s="2" t="s">
        <v>302</v>
      </c>
      <c r="J32" s="2" t="s">
        <v>303</v>
      </c>
      <c r="K32" s="2" t="s">
        <v>304</v>
      </c>
    </row>
    <row r="33" spans="1:11" x14ac:dyDescent="0.3">
      <c r="A33" s="2" t="s">
        <v>295</v>
      </c>
      <c r="B33" s="2" t="s">
        <v>22</v>
      </c>
      <c r="C33" s="2" t="s">
        <v>305</v>
      </c>
      <c r="D33" s="2" t="s">
        <v>306</v>
      </c>
      <c r="E33" s="2" t="s">
        <v>307</v>
      </c>
      <c r="F33" s="2" t="s">
        <v>308</v>
      </c>
      <c r="G33" s="2" t="s">
        <v>309</v>
      </c>
      <c r="H33" s="2" t="s">
        <v>310</v>
      </c>
      <c r="I33" s="2" t="s">
        <v>48</v>
      </c>
      <c r="J33" s="2" t="s">
        <v>311</v>
      </c>
      <c r="K33" s="2" t="s">
        <v>312</v>
      </c>
    </row>
    <row r="34" spans="1:11" x14ac:dyDescent="0.3">
      <c r="A34" s="2" t="s">
        <v>313</v>
      </c>
      <c r="B34" s="2" t="s">
        <v>12</v>
      </c>
      <c r="C34" s="2" t="s">
        <v>314</v>
      </c>
      <c r="D34" s="2" t="s">
        <v>315</v>
      </c>
      <c r="E34" s="2" t="s">
        <v>316</v>
      </c>
      <c r="F34" s="2" t="s">
        <v>317</v>
      </c>
      <c r="G34" s="2" t="s">
        <v>318</v>
      </c>
      <c r="H34" s="2" t="s">
        <v>319</v>
      </c>
      <c r="I34" s="2" t="s">
        <v>320</v>
      </c>
      <c r="J34" s="2" t="s">
        <v>321</v>
      </c>
      <c r="K34" s="2" t="s">
        <v>322</v>
      </c>
    </row>
    <row r="35" spans="1:11" x14ac:dyDescent="0.3">
      <c r="A35" s="2" t="s">
        <v>313</v>
      </c>
      <c r="B35" s="2" t="s">
        <v>22</v>
      </c>
      <c r="C35" s="2" t="s">
        <v>323</v>
      </c>
      <c r="D35" s="2" t="s">
        <v>324</v>
      </c>
      <c r="E35" s="2" t="s">
        <v>325</v>
      </c>
      <c r="F35" s="2" t="s">
        <v>326</v>
      </c>
      <c r="G35" s="2" t="s">
        <v>327</v>
      </c>
      <c r="H35" s="2" t="s">
        <v>328</v>
      </c>
      <c r="I35" s="2" t="s">
        <v>329</v>
      </c>
      <c r="J35" s="2" t="s">
        <v>330</v>
      </c>
      <c r="K35" s="2" t="s">
        <v>126</v>
      </c>
    </row>
    <row r="36" spans="1:11" x14ac:dyDescent="0.3">
      <c r="A36" s="2" t="s">
        <v>331</v>
      </c>
      <c r="B36" s="2" t="s">
        <v>12</v>
      </c>
      <c r="C36" s="2" t="s">
        <v>332</v>
      </c>
      <c r="D36" s="2" t="s">
        <v>333</v>
      </c>
      <c r="E36" s="2" t="s">
        <v>334</v>
      </c>
      <c r="F36" s="2" t="s">
        <v>335</v>
      </c>
      <c r="G36" s="2" t="s">
        <v>336</v>
      </c>
      <c r="H36" s="2" t="s">
        <v>337</v>
      </c>
      <c r="I36" s="2" t="s">
        <v>338</v>
      </c>
      <c r="J36" s="2" t="s">
        <v>339</v>
      </c>
      <c r="K36" s="2" t="s">
        <v>340</v>
      </c>
    </row>
    <row r="37" spans="1:11" x14ac:dyDescent="0.3">
      <c r="A37" s="2" t="s">
        <v>331</v>
      </c>
      <c r="B37" s="2" t="s">
        <v>22</v>
      </c>
      <c r="C37" s="2" t="s">
        <v>341</v>
      </c>
      <c r="D37" s="2" t="s">
        <v>342</v>
      </c>
      <c r="E37" s="2" t="s">
        <v>343</v>
      </c>
      <c r="F37" s="2" t="s">
        <v>344</v>
      </c>
      <c r="G37" s="2" t="s">
        <v>345</v>
      </c>
      <c r="H37" s="2" t="s">
        <v>346</v>
      </c>
      <c r="I37" s="2" t="s">
        <v>347</v>
      </c>
      <c r="J37" s="2" t="s">
        <v>163</v>
      </c>
      <c r="K37" s="2" t="s">
        <v>348</v>
      </c>
    </row>
    <row r="38" spans="1:11" x14ac:dyDescent="0.3">
      <c r="A38" s="2" t="s">
        <v>349</v>
      </c>
      <c r="B38" s="2" t="s">
        <v>12</v>
      </c>
      <c r="C38" s="2" t="s">
        <v>350</v>
      </c>
      <c r="D38" s="2" t="s">
        <v>351</v>
      </c>
      <c r="E38" s="2" t="s">
        <v>352</v>
      </c>
      <c r="F38" s="2" t="s">
        <v>353</v>
      </c>
      <c r="G38" s="2" t="s">
        <v>354</v>
      </c>
      <c r="H38" s="2" t="s">
        <v>355</v>
      </c>
      <c r="I38" s="2" t="s">
        <v>356</v>
      </c>
      <c r="J38" s="2" t="s">
        <v>357</v>
      </c>
      <c r="K38" s="2" t="s">
        <v>358</v>
      </c>
    </row>
    <row r="39" spans="1:11" x14ac:dyDescent="0.3">
      <c r="A39" s="2" t="s">
        <v>349</v>
      </c>
      <c r="B39" s="2" t="s">
        <v>22</v>
      </c>
      <c r="C39" s="2" t="s">
        <v>359</v>
      </c>
      <c r="D39" s="2" t="s">
        <v>360</v>
      </c>
      <c r="E39" s="2" t="s">
        <v>361</v>
      </c>
      <c r="F39" s="2" t="s">
        <v>362</v>
      </c>
      <c r="G39" s="2" t="s">
        <v>363</v>
      </c>
      <c r="H39" s="2" t="s">
        <v>364</v>
      </c>
      <c r="I39" s="2" t="s">
        <v>365</v>
      </c>
      <c r="J39" s="2" t="s">
        <v>366</v>
      </c>
      <c r="K39" s="2" t="s">
        <v>367</v>
      </c>
    </row>
    <row r="40" spans="1:11" x14ac:dyDescent="0.3">
      <c r="A40" s="2" t="s">
        <v>368</v>
      </c>
      <c r="B40" s="2" t="s">
        <v>12</v>
      </c>
      <c r="C40" s="2" t="s">
        <v>369</v>
      </c>
      <c r="D40" s="2" t="s">
        <v>370</v>
      </c>
      <c r="E40" s="2" t="s">
        <v>371</v>
      </c>
      <c r="F40" s="2" t="s">
        <v>372</v>
      </c>
      <c r="G40" s="2" t="s">
        <v>373</v>
      </c>
      <c r="H40" s="2" t="s">
        <v>374</v>
      </c>
      <c r="I40" s="2" t="s">
        <v>375</v>
      </c>
      <c r="J40" s="2" t="s">
        <v>376</v>
      </c>
      <c r="K40" s="2" t="s">
        <v>377</v>
      </c>
    </row>
    <row r="41" spans="1:11" x14ac:dyDescent="0.3">
      <c r="A41" s="2" t="s">
        <v>368</v>
      </c>
      <c r="B41" s="2" t="s">
        <v>22</v>
      </c>
      <c r="C41" s="2" t="s">
        <v>378</v>
      </c>
      <c r="D41" s="2" t="s">
        <v>379</v>
      </c>
      <c r="E41" s="2" t="s">
        <v>380</v>
      </c>
      <c r="F41" s="2" t="s">
        <v>381</v>
      </c>
      <c r="G41" s="2" t="s">
        <v>83</v>
      </c>
      <c r="H41" s="2" t="s">
        <v>382</v>
      </c>
      <c r="I41" s="2" t="s">
        <v>383</v>
      </c>
      <c r="J41" s="2" t="s">
        <v>384</v>
      </c>
      <c r="K41" s="2" t="s">
        <v>385</v>
      </c>
    </row>
    <row r="42" spans="1:11" x14ac:dyDescent="0.3">
      <c r="A42" s="2" t="s">
        <v>386</v>
      </c>
      <c r="B42" s="2" t="s">
        <v>12</v>
      </c>
      <c r="C42" s="2" t="s">
        <v>387</v>
      </c>
      <c r="D42" s="2" t="s">
        <v>388</v>
      </c>
      <c r="E42" s="2" t="s">
        <v>389</v>
      </c>
      <c r="F42" s="2" t="s">
        <v>390</v>
      </c>
      <c r="G42" s="2" t="s">
        <v>391</v>
      </c>
      <c r="H42" s="2" t="s">
        <v>392</v>
      </c>
      <c r="I42" s="2" t="s">
        <v>393</v>
      </c>
      <c r="J42" s="2" t="s">
        <v>394</v>
      </c>
      <c r="K42" s="2" t="s">
        <v>395</v>
      </c>
    </row>
    <row r="43" spans="1:11" x14ac:dyDescent="0.3">
      <c r="A43" s="2" t="s">
        <v>386</v>
      </c>
      <c r="B43" s="2" t="s">
        <v>22</v>
      </c>
      <c r="C43" s="2" t="s">
        <v>396</v>
      </c>
      <c r="D43" s="2" t="s">
        <v>397</v>
      </c>
      <c r="E43" s="2" t="s">
        <v>398</v>
      </c>
      <c r="F43" s="2" t="s">
        <v>235</v>
      </c>
      <c r="G43" s="2" t="s">
        <v>399</v>
      </c>
      <c r="H43" s="2" t="s">
        <v>400</v>
      </c>
      <c r="I43" s="2" t="s">
        <v>401</v>
      </c>
      <c r="J43" s="2" t="s">
        <v>181</v>
      </c>
      <c r="K43" s="2" t="s">
        <v>402</v>
      </c>
    </row>
    <row r="44" spans="1:11" x14ac:dyDescent="0.3">
      <c r="A44" s="2" t="s">
        <v>403</v>
      </c>
      <c r="B44" s="2" t="s">
        <v>12</v>
      </c>
      <c r="C44" s="2" t="s">
        <v>404</v>
      </c>
      <c r="D44" s="2" t="s">
        <v>405</v>
      </c>
      <c r="E44" s="2" t="s">
        <v>406</v>
      </c>
      <c r="F44" s="2" t="s">
        <v>407</v>
      </c>
      <c r="G44" s="2" t="s">
        <v>408</v>
      </c>
      <c r="H44" s="2" t="s">
        <v>409</v>
      </c>
      <c r="I44" s="2" t="s">
        <v>410</v>
      </c>
      <c r="J44" s="2" t="s">
        <v>411</v>
      </c>
      <c r="K44" s="2" t="s">
        <v>412</v>
      </c>
    </row>
    <row r="45" spans="1:11" x14ac:dyDescent="0.3">
      <c r="A45" s="2" t="s">
        <v>403</v>
      </c>
      <c r="B45" s="2" t="s">
        <v>22</v>
      </c>
      <c r="C45" s="2" t="s">
        <v>413</v>
      </c>
      <c r="D45" s="2" t="s">
        <v>414</v>
      </c>
      <c r="E45" s="2" t="s">
        <v>415</v>
      </c>
      <c r="F45" s="2" t="s">
        <v>416</v>
      </c>
      <c r="G45" s="2" t="s">
        <v>417</v>
      </c>
      <c r="H45" s="2" t="s">
        <v>418</v>
      </c>
      <c r="I45" s="2" t="s">
        <v>419</v>
      </c>
      <c r="J45" s="2" t="s">
        <v>420</v>
      </c>
      <c r="K45" s="2" t="s">
        <v>421</v>
      </c>
    </row>
    <row r="46" spans="1:11" x14ac:dyDescent="0.3">
      <c r="A46" s="2" t="s">
        <v>422</v>
      </c>
      <c r="B46" s="2" t="s">
        <v>12</v>
      </c>
      <c r="C46" s="2" t="s">
        <v>423</v>
      </c>
      <c r="D46" s="2" t="s">
        <v>424</v>
      </c>
      <c r="E46" s="2" t="s">
        <v>425</v>
      </c>
      <c r="F46" s="2" t="s">
        <v>426</v>
      </c>
      <c r="G46" s="2" t="s">
        <v>427</v>
      </c>
      <c r="H46" s="2" t="s">
        <v>428</v>
      </c>
      <c r="I46" s="2" t="s">
        <v>429</v>
      </c>
      <c r="J46" s="2" t="s">
        <v>430</v>
      </c>
      <c r="K46" s="2" t="s">
        <v>431</v>
      </c>
    </row>
    <row r="47" spans="1:11" x14ac:dyDescent="0.3">
      <c r="A47" s="2" t="s">
        <v>422</v>
      </c>
      <c r="B47" s="2" t="s">
        <v>22</v>
      </c>
      <c r="C47" s="2" t="s">
        <v>432</v>
      </c>
      <c r="D47" s="2" t="s">
        <v>433</v>
      </c>
      <c r="E47" s="2" t="s">
        <v>434</v>
      </c>
      <c r="F47" s="2" t="s">
        <v>435</v>
      </c>
      <c r="G47" s="2" t="s">
        <v>436</v>
      </c>
      <c r="H47" s="2" t="s">
        <v>437</v>
      </c>
      <c r="I47" s="2" t="s">
        <v>438</v>
      </c>
      <c r="J47" s="2" t="s">
        <v>439</v>
      </c>
      <c r="K47" s="2" t="s">
        <v>440</v>
      </c>
    </row>
    <row r="48" spans="1:11" x14ac:dyDescent="0.3">
      <c r="A48" s="2" t="s">
        <v>441</v>
      </c>
      <c r="B48" s="2" t="s">
        <v>12</v>
      </c>
      <c r="C48" s="2" t="s">
        <v>442</v>
      </c>
      <c r="D48" s="2" t="s">
        <v>443</v>
      </c>
      <c r="E48" s="2" t="s">
        <v>444</v>
      </c>
      <c r="F48" s="2" t="s">
        <v>445</v>
      </c>
      <c r="G48" s="2" t="s">
        <v>446</v>
      </c>
      <c r="H48" s="2" t="s">
        <v>447</v>
      </c>
      <c r="I48" s="2" t="s">
        <v>448</v>
      </c>
      <c r="J48" s="2" t="s">
        <v>449</v>
      </c>
      <c r="K48" s="2" t="s">
        <v>450</v>
      </c>
    </row>
    <row r="49" spans="1:11" x14ac:dyDescent="0.3">
      <c r="A49" s="2" t="s">
        <v>441</v>
      </c>
      <c r="B49" s="2" t="s">
        <v>22</v>
      </c>
      <c r="C49" s="2" t="s">
        <v>451</v>
      </c>
      <c r="D49" s="2" t="s">
        <v>452</v>
      </c>
      <c r="E49" s="2" t="s">
        <v>453</v>
      </c>
      <c r="F49" s="2" t="s">
        <v>454</v>
      </c>
      <c r="G49" s="2" t="s">
        <v>455</v>
      </c>
      <c r="H49" s="2" t="s">
        <v>456</v>
      </c>
      <c r="I49" s="2" t="s">
        <v>457</v>
      </c>
      <c r="J49" s="2" t="s">
        <v>458</v>
      </c>
      <c r="K49" s="2" t="s">
        <v>48</v>
      </c>
    </row>
    <row r="50" spans="1:11" x14ac:dyDescent="0.3">
      <c r="A50" s="2" t="s">
        <v>459</v>
      </c>
      <c r="B50" s="2" t="s">
        <v>12</v>
      </c>
      <c r="C50" s="2" t="s">
        <v>460</v>
      </c>
      <c r="D50" s="2" t="s">
        <v>461</v>
      </c>
      <c r="E50" s="2" t="s">
        <v>462</v>
      </c>
      <c r="F50" s="2" t="s">
        <v>463</v>
      </c>
      <c r="G50" s="2" t="s">
        <v>464</v>
      </c>
      <c r="H50" s="2" t="s">
        <v>465</v>
      </c>
      <c r="I50" s="2" t="s">
        <v>466</v>
      </c>
      <c r="J50" s="2" t="s">
        <v>467</v>
      </c>
      <c r="K50" s="2" t="s">
        <v>468</v>
      </c>
    </row>
    <row r="51" spans="1:11" x14ac:dyDescent="0.3">
      <c r="A51" s="2" t="s">
        <v>459</v>
      </c>
      <c r="B51" s="2" t="s">
        <v>22</v>
      </c>
      <c r="C51" s="2" t="s">
        <v>469</v>
      </c>
      <c r="D51" s="2" t="s">
        <v>470</v>
      </c>
      <c r="E51" s="2" t="s">
        <v>471</v>
      </c>
      <c r="F51" s="2" t="s">
        <v>472</v>
      </c>
      <c r="G51" s="2" t="s">
        <v>473</v>
      </c>
      <c r="H51" s="2" t="s">
        <v>474</v>
      </c>
      <c r="I51" s="2" t="s">
        <v>293</v>
      </c>
      <c r="J51" s="2" t="s">
        <v>475</v>
      </c>
      <c r="K51" s="2" t="s">
        <v>476</v>
      </c>
    </row>
    <row r="52" spans="1:1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</row>
    <row r="55" spans="1:11" ht="18" x14ac:dyDescent="0.35">
      <c r="A55" s="3" t="s">
        <v>477</v>
      </c>
      <c r="C55" s="5" cm="1">
        <f t="array" ref="C55">AVERAGE(VALUE(ZGC_Table[duration_java21_ms]))</f>
        <v>296455.97134668002</v>
      </c>
      <c r="D55" s="5" cm="1">
        <f t="array" ref="D55">AVERAGE(VALUE(ZGC_Table[duration_java25_ms]))</f>
        <v>297079.08992351999</v>
      </c>
      <c r="E55" s="5" cm="1">
        <f t="array" ref="E55">AVERAGE(VALUE(ZGC_Table[duration_change_percent_java25_vs_java21]))</f>
        <v>0.19029174895017595</v>
      </c>
      <c r="F55" s="5" cm="1">
        <f t="array" ref="F55">AVERAGE(VALUE(ZGC_Table[stw_java21_ms]))</f>
        <v>0.54132000000000002</v>
      </c>
      <c r="G55" s="5" cm="1">
        <f t="array" ref="G55">AVERAGE(VALUE(ZGC_Table[stw_java25_ms]))</f>
        <v>0.70716000000000012</v>
      </c>
      <c r="H55" s="5" cm="1">
        <f t="array" ref="H55">AVERAGE(VALUE(ZGC_Table[stw_change_percent_java25_vs_java21]))</f>
        <v>19.101633731041968</v>
      </c>
      <c r="I55" s="5" cm="1">
        <f t="array" ref="I55">AVERAGE(VALUE(ZGC_Table[stw_overhead_java21_percent]))</f>
        <v>1.8484E-4</v>
      </c>
      <c r="J55" s="5" cm="1">
        <f t="array" ref="J55">AVERAGE(VALUE(ZGC_Table[stw_overhead_java25_percent]))</f>
        <v>2.3939999999999999E-4</v>
      </c>
      <c r="K55" s="5" cm="1">
        <f t="array" ref="K55">AVERAGE(VALUE(ZGC_Table[stw_overhead_diff_percentage_points]))</f>
        <v>5.4559999999999999E-5</v>
      </c>
    </row>
    <row r="56" spans="1:11" ht="18" x14ac:dyDescent="0.35">
      <c r="A56" s="3" t="s">
        <v>479</v>
      </c>
      <c r="C56" s="6" cm="1">
        <f t="array" ref="C56">AVERAGE(VALUE(G1GC_Table[duration_java21_ms]))</f>
        <v>296276.59404684004</v>
      </c>
      <c r="D56" s="6" cm="1">
        <f t="array" ref="D56">AVERAGE(VALUE(G1GC_Table[duration_java25_ms]))</f>
        <v>296191.67003743997</v>
      </c>
      <c r="E56" s="6" cm="1">
        <f t="array" ref="E56">AVERAGE(VALUE(G1GC_Table[duration_change_percent_java25_vs_java21]))</f>
        <v>-4.3867645612156878E-2</v>
      </c>
      <c r="F56" s="6" cm="1">
        <f t="array" ref="F56">AVERAGE(VALUE(G1GC_Table[stw_java21_ms]))</f>
        <v>2862.6072399999998</v>
      </c>
      <c r="G56" s="6" cm="1">
        <f t="array" ref="G56">AVERAGE(VALUE(G1GC_Table[stw_java25_ms]))</f>
        <v>2824.7020000000002</v>
      </c>
      <c r="H56" s="6" cm="1">
        <f t="array" ref="H56">AVERAGE(VALUE(G1GC_Table[stw_change_percent_java25_vs_java21]))</f>
        <v>6.6854529889982128</v>
      </c>
      <c r="I56" s="6" cm="1">
        <f t="array" ref="I56">AVERAGE(VALUE(G1GC_Table[stw_overhead_java21_percent]))</f>
        <v>1.0249434399999999</v>
      </c>
      <c r="J56" s="6" cm="1">
        <f t="array" ref="J56">AVERAGE(VALUE(G1GC_Table[stw_overhead_java25_percent]))</f>
        <v>1.0428908000000003</v>
      </c>
      <c r="K56" s="6" cm="1">
        <f t="array" ref="K56">AVERAGE(VALUE(G1GC_Table[stw_overhead_diff_percentage_points]))</f>
        <v>1.7947360000000034E-2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="71" workbookViewId="0">
      <selection activeCell="A28" sqref="A28:K28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11" width="20" customWidth="1"/>
  </cols>
  <sheetData>
    <row r="1" spans="1:11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x14ac:dyDescent="0.3">
      <c r="A3" s="2" t="s">
        <v>32</v>
      </c>
      <c r="B3" s="2" t="s">
        <v>12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</row>
    <row r="4" spans="1:11" x14ac:dyDescent="0.3">
      <c r="A4" s="2" t="s">
        <v>51</v>
      </c>
      <c r="B4" s="2" t="s">
        <v>12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</row>
    <row r="5" spans="1:11" x14ac:dyDescent="0.3">
      <c r="A5" s="2" t="s">
        <v>70</v>
      </c>
      <c r="B5" s="2" t="s">
        <v>12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</row>
    <row r="6" spans="1:11" x14ac:dyDescent="0.3">
      <c r="A6" s="2" t="s">
        <v>89</v>
      </c>
      <c r="B6" s="2" t="s">
        <v>12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</row>
    <row r="7" spans="1:11" x14ac:dyDescent="0.3">
      <c r="A7" s="2" t="s">
        <v>108</v>
      </c>
      <c r="B7" s="2" t="s">
        <v>12</v>
      </c>
      <c r="C7" s="4" t="s">
        <v>109</v>
      </c>
      <c r="D7" s="4" t="s">
        <v>110</v>
      </c>
      <c r="E7" s="4" t="s">
        <v>111</v>
      </c>
      <c r="F7" s="4" t="s">
        <v>112</v>
      </c>
      <c r="G7" s="4" t="s">
        <v>113</v>
      </c>
      <c r="H7" s="4" t="s">
        <v>114</v>
      </c>
      <c r="I7" s="4" t="s">
        <v>115</v>
      </c>
      <c r="J7" s="4" t="s">
        <v>116</v>
      </c>
      <c r="K7" s="4" t="s">
        <v>117</v>
      </c>
    </row>
    <row r="8" spans="1:11" x14ac:dyDescent="0.3">
      <c r="A8" s="2" t="s">
        <v>127</v>
      </c>
      <c r="B8" s="2" t="s">
        <v>12</v>
      </c>
      <c r="C8" s="4" t="s">
        <v>128</v>
      </c>
      <c r="D8" s="4" t="s">
        <v>129</v>
      </c>
      <c r="E8" s="4" t="s">
        <v>130</v>
      </c>
      <c r="F8" s="4" t="s">
        <v>131</v>
      </c>
      <c r="G8" s="4" t="s">
        <v>132</v>
      </c>
      <c r="H8" s="4" t="s">
        <v>133</v>
      </c>
      <c r="I8" s="4" t="s">
        <v>134</v>
      </c>
      <c r="J8" s="4" t="s">
        <v>135</v>
      </c>
      <c r="K8" s="4" t="s">
        <v>136</v>
      </c>
    </row>
    <row r="9" spans="1:11" x14ac:dyDescent="0.3">
      <c r="A9" s="2" t="s">
        <v>146</v>
      </c>
      <c r="B9" s="2" t="s">
        <v>12</v>
      </c>
      <c r="C9" s="4" t="s">
        <v>147</v>
      </c>
      <c r="D9" s="4" t="s">
        <v>148</v>
      </c>
      <c r="E9" s="4" t="s">
        <v>149</v>
      </c>
      <c r="F9" s="4" t="s">
        <v>150</v>
      </c>
      <c r="G9" s="4" t="s">
        <v>151</v>
      </c>
      <c r="H9" s="4" t="s">
        <v>152</v>
      </c>
      <c r="I9" s="4" t="s">
        <v>153</v>
      </c>
      <c r="J9" s="4" t="s">
        <v>154</v>
      </c>
      <c r="K9" s="4" t="s">
        <v>155</v>
      </c>
    </row>
    <row r="10" spans="1:11" x14ac:dyDescent="0.3">
      <c r="A10" s="2" t="s">
        <v>165</v>
      </c>
      <c r="B10" s="2" t="s">
        <v>12</v>
      </c>
      <c r="C10" s="4" t="s">
        <v>166</v>
      </c>
      <c r="D10" s="4" t="s">
        <v>167</v>
      </c>
      <c r="E10" s="4" t="s">
        <v>168</v>
      </c>
      <c r="F10" s="4" t="s">
        <v>169</v>
      </c>
      <c r="G10" s="4" t="s">
        <v>170</v>
      </c>
      <c r="H10" s="4" t="s">
        <v>171</v>
      </c>
      <c r="I10" s="4" t="s">
        <v>172</v>
      </c>
      <c r="J10" s="4" t="s">
        <v>173</v>
      </c>
      <c r="K10" s="4" t="s">
        <v>174</v>
      </c>
    </row>
    <row r="11" spans="1:11" x14ac:dyDescent="0.3">
      <c r="A11" s="2" t="s">
        <v>184</v>
      </c>
      <c r="B11" s="2" t="s">
        <v>12</v>
      </c>
      <c r="C11" s="4" t="s">
        <v>185</v>
      </c>
      <c r="D11" s="4" t="s">
        <v>186</v>
      </c>
      <c r="E11" s="4" t="s">
        <v>187</v>
      </c>
      <c r="F11" s="4" t="s">
        <v>188</v>
      </c>
      <c r="G11" s="4" t="s">
        <v>189</v>
      </c>
      <c r="H11" s="4" t="s">
        <v>190</v>
      </c>
      <c r="I11" s="4" t="s">
        <v>191</v>
      </c>
      <c r="J11" s="4" t="s">
        <v>192</v>
      </c>
      <c r="K11" s="4" t="s">
        <v>193</v>
      </c>
    </row>
    <row r="12" spans="1:11" x14ac:dyDescent="0.3">
      <c r="A12" s="2" t="s">
        <v>203</v>
      </c>
      <c r="B12" s="2" t="s">
        <v>12</v>
      </c>
      <c r="C12" s="4" t="s">
        <v>204</v>
      </c>
      <c r="D12" s="4" t="s">
        <v>205</v>
      </c>
      <c r="E12" s="4" t="s">
        <v>206</v>
      </c>
      <c r="F12" s="4" t="s">
        <v>207</v>
      </c>
      <c r="G12" s="4" t="s">
        <v>208</v>
      </c>
      <c r="H12" s="4" t="s">
        <v>209</v>
      </c>
      <c r="I12" s="4" t="s">
        <v>210</v>
      </c>
      <c r="J12" s="4" t="s">
        <v>211</v>
      </c>
      <c r="K12" s="4" t="s">
        <v>212</v>
      </c>
    </row>
    <row r="13" spans="1:11" x14ac:dyDescent="0.3">
      <c r="A13" s="2" t="s">
        <v>222</v>
      </c>
      <c r="B13" s="2" t="s">
        <v>12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4" t="s">
        <v>230</v>
      </c>
      <c r="K13" s="4" t="s">
        <v>231</v>
      </c>
    </row>
    <row r="14" spans="1:11" x14ac:dyDescent="0.3">
      <c r="A14" s="2" t="s">
        <v>240</v>
      </c>
      <c r="B14" s="2" t="s">
        <v>12</v>
      </c>
      <c r="C14" s="4" t="s">
        <v>241</v>
      </c>
      <c r="D14" s="4" t="s">
        <v>242</v>
      </c>
      <c r="E14" s="4" t="s">
        <v>243</v>
      </c>
      <c r="F14" s="4" t="s">
        <v>244</v>
      </c>
      <c r="G14" s="4" t="s">
        <v>245</v>
      </c>
      <c r="H14" s="4" t="s">
        <v>246</v>
      </c>
      <c r="I14" s="4" t="s">
        <v>247</v>
      </c>
      <c r="J14" s="4" t="s">
        <v>248</v>
      </c>
      <c r="K14" s="4" t="s">
        <v>249</v>
      </c>
    </row>
    <row r="15" spans="1:11" x14ac:dyDescent="0.3">
      <c r="A15" s="2" t="s">
        <v>258</v>
      </c>
      <c r="B15" s="2" t="s">
        <v>12</v>
      </c>
      <c r="C15" s="4" t="s">
        <v>259</v>
      </c>
      <c r="D15" s="4" t="s">
        <v>260</v>
      </c>
      <c r="E15" s="4" t="s">
        <v>261</v>
      </c>
      <c r="F15" s="4" t="s">
        <v>262</v>
      </c>
      <c r="G15" s="4" t="s">
        <v>263</v>
      </c>
      <c r="H15" s="4" t="s">
        <v>264</v>
      </c>
      <c r="I15" s="4" t="s">
        <v>265</v>
      </c>
      <c r="J15" s="4" t="s">
        <v>266</v>
      </c>
      <c r="K15" s="4" t="s">
        <v>267</v>
      </c>
    </row>
    <row r="16" spans="1:11" x14ac:dyDescent="0.3">
      <c r="A16" s="2" t="s">
        <v>276</v>
      </c>
      <c r="B16" s="2" t="s">
        <v>12</v>
      </c>
      <c r="C16" s="4" t="s">
        <v>277</v>
      </c>
      <c r="D16" s="4" t="s">
        <v>278</v>
      </c>
      <c r="E16" s="4" t="s">
        <v>279</v>
      </c>
      <c r="F16" s="4" t="s">
        <v>280</v>
      </c>
      <c r="G16" s="4" t="s">
        <v>281</v>
      </c>
      <c r="H16" s="4" t="s">
        <v>282</v>
      </c>
      <c r="I16" s="4" t="s">
        <v>283</v>
      </c>
      <c r="J16" s="4" t="s">
        <v>284</v>
      </c>
      <c r="K16" s="4" t="s">
        <v>285</v>
      </c>
    </row>
    <row r="17" spans="1:11" x14ac:dyDescent="0.3">
      <c r="A17" s="2" t="s">
        <v>295</v>
      </c>
      <c r="B17" s="2" t="s">
        <v>12</v>
      </c>
      <c r="C17" s="4" t="s">
        <v>296</v>
      </c>
      <c r="D17" s="4" t="s">
        <v>297</v>
      </c>
      <c r="E17" s="4" t="s">
        <v>298</v>
      </c>
      <c r="F17" s="4" t="s">
        <v>299</v>
      </c>
      <c r="G17" s="4" t="s">
        <v>300</v>
      </c>
      <c r="H17" s="4" t="s">
        <v>301</v>
      </c>
      <c r="I17" s="4" t="s">
        <v>302</v>
      </c>
      <c r="J17" s="4" t="s">
        <v>303</v>
      </c>
      <c r="K17" s="4" t="s">
        <v>304</v>
      </c>
    </row>
    <row r="18" spans="1:11" x14ac:dyDescent="0.3">
      <c r="A18" s="2" t="s">
        <v>313</v>
      </c>
      <c r="B18" s="2" t="s">
        <v>12</v>
      </c>
      <c r="C18" s="4" t="s">
        <v>314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320</v>
      </c>
      <c r="J18" s="4" t="s">
        <v>321</v>
      </c>
      <c r="K18" s="4" t="s">
        <v>322</v>
      </c>
    </row>
    <row r="19" spans="1:11" x14ac:dyDescent="0.3">
      <c r="A19" s="2" t="s">
        <v>331</v>
      </c>
      <c r="B19" s="2" t="s">
        <v>12</v>
      </c>
      <c r="C19" s="4" t="s">
        <v>332</v>
      </c>
      <c r="D19" s="4" t="s">
        <v>333</v>
      </c>
      <c r="E19" s="4" t="s">
        <v>334</v>
      </c>
      <c r="F19" s="4" t="s">
        <v>335</v>
      </c>
      <c r="G19" s="4" t="s">
        <v>336</v>
      </c>
      <c r="H19" s="4" t="s">
        <v>337</v>
      </c>
      <c r="I19" s="4" t="s">
        <v>338</v>
      </c>
      <c r="J19" s="4" t="s">
        <v>339</v>
      </c>
      <c r="K19" s="4" t="s">
        <v>340</v>
      </c>
    </row>
    <row r="20" spans="1:11" x14ac:dyDescent="0.3">
      <c r="A20" s="2" t="s">
        <v>349</v>
      </c>
      <c r="B20" s="2" t="s">
        <v>12</v>
      </c>
      <c r="C20" s="4" t="s">
        <v>350</v>
      </c>
      <c r="D20" s="4" t="s">
        <v>351</v>
      </c>
      <c r="E20" s="4" t="s">
        <v>352</v>
      </c>
      <c r="F20" s="4" t="s">
        <v>353</v>
      </c>
      <c r="G20" s="4" t="s">
        <v>354</v>
      </c>
      <c r="H20" s="4" t="s">
        <v>355</v>
      </c>
      <c r="I20" s="4" t="s">
        <v>356</v>
      </c>
      <c r="J20" s="4" t="s">
        <v>357</v>
      </c>
      <c r="K20" s="4" t="s">
        <v>358</v>
      </c>
    </row>
    <row r="21" spans="1:11" x14ac:dyDescent="0.3">
      <c r="A21" s="2" t="s">
        <v>368</v>
      </c>
      <c r="B21" s="2" t="s">
        <v>12</v>
      </c>
      <c r="C21" s="4" t="s">
        <v>369</v>
      </c>
      <c r="D21" s="4" t="s">
        <v>370</v>
      </c>
      <c r="E21" s="4" t="s">
        <v>371</v>
      </c>
      <c r="F21" s="4" t="s">
        <v>372</v>
      </c>
      <c r="G21" s="4" t="s">
        <v>373</v>
      </c>
      <c r="H21" s="4" t="s">
        <v>374</v>
      </c>
      <c r="I21" s="4" t="s">
        <v>375</v>
      </c>
      <c r="J21" s="4" t="s">
        <v>376</v>
      </c>
      <c r="K21" s="4" t="s">
        <v>377</v>
      </c>
    </row>
    <row r="22" spans="1:11" x14ac:dyDescent="0.3">
      <c r="A22" s="2" t="s">
        <v>386</v>
      </c>
      <c r="B22" s="2" t="s">
        <v>12</v>
      </c>
      <c r="C22" s="4" t="s">
        <v>387</v>
      </c>
      <c r="D22" s="4" t="s">
        <v>388</v>
      </c>
      <c r="E22" s="4" t="s">
        <v>389</v>
      </c>
      <c r="F22" s="4" t="s">
        <v>390</v>
      </c>
      <c r="G22" s="4" t="s">
        <v>391</v>
      </c>
      <c r="H22" s="4" t="s">
        <v>392</v>
      </c>
      <c r="I22" s="4" t="s">
        <v>393</v>
      </c>
      <c r="J22" s="4" t="s">
        <v>394</v>
      </c>
      <c r="K22" s="4" t="s">
        <v>395</v>
      </c>
    </row>
    <row r="23" spans="1:11" x14ac:dyDescent="0.3">
      <c r="A23" s="2" t="s">
        <v>403</v>
      </c>
      <c r="B23" s="2" t="s">
        <v>12</v>
      </c>
      <c r="C23" s="4" t="s">
        <v>404</v>
      </c>
      <c r="D23" s="4" t="s">
        <v>405</v>
      </c>
      <c r="E23" s="4" t="s">
        <v>406</v>
      </c>
      <c r="F23" s="4" t="s">
        <v>407</v>
      </c>
      <c r="G23" s="4" t="s">
        <v>408</v>
      </c>
      <c r="H23" s="4" t="s">
        <v>409</v>
      </c>
      <c r="I23" s="4" t="s">
        <v>410</v>
      </c>
      <c r="J23" s="4" t="s">
        <v>411</v>
      </c>
      <c r="K23" s="4" t="s">
        <v>412</v>
      </c>
    </row>
    <row r="24" spans="1:11" x14ac:dyDescent="0.3">
      <c r="A24" s="2" t="s">
        <v>422</v>
      </c>
      <c r="B24" s="2" t="s">
        <v>12</v>
      </c>
      <c r="C24" s="4" t="s">
        <v>423</v>
      </c>
      <c r="D24" s="4" t="s">
        <v>424</v>
      </c>
      <c r="E24" s="4" t="s">
        <v>425</v>
      </c>
      <c r="F24" s="4" t="s">
        <v>426</v>
      </c>
      <c r="G24" s="4" t="s">
        <v>427</v>
      </c>
      <c r="H24" s="4" t="s">
        <v>428</v>
      </c>
      <c r="I24" s="4" t="s">
        <v>429</v>
      </c>
      <c r="J24" s="4" t="s">
        <v>430</v>
      </c>
      <c r="K24" s="4" t="s">
        <v>431</v>
      </c>
    </row>
    <row r="25" spans="1:11" x14ac:dyDescent="0.3">
      <c r="A25" s="2" t="s">
        <v>441</v>
      </c>
      <c r="B25" s="2" t="s">
        <v>12</v>
      </c>
      <c r="C25" s="4" t="s">
        <v>442</v>
      </c>
      <c r="D25" s="4" t="s">
        <v>443</v>
      </c>
      <c r="E25" s="4" t="s">
        <v>444</v>
      </c>
      <c r="F25" s="4" t="s">
        <v>445</v>
      </c>
      <c r="G25" s="4" t="s">
        <v>446</v>
      </c>
      <c r="H25" s="4" t="s">
        <v>447</v>
      </c>
      <c r="I25" s="4" t="s">
        <v>448</v>
      </c>
      <c r="J25" s="4" t="s">
        <v>449</v>
      </c>
      <c r="K25" s="4" t="s">
        <v>450</v>
      </c>
    </row>
    <row r="26" spans="1:11" x14ac:dyDescent="0.3">
      <c r="A26" s="2" t="s">
        <v>459</v>
      </c>
      <c r="B26" s="2" t="s">
        <v>12</v>
      </c>
      <c r="C26" s="4" t="s">
        <v>460</v>
      </c>
      <c r="D26" s="4" t="s">
        <v>461</v>
      </c>
      <c r="E26" s="4" t="s">
        <v>462</v>
      </c>
      <c r="F26" s="4" t="s">
        <v>463</v>
      </c>
      <c r="G26" s="4" t="s">
        <v>464</v>
      </c>
      <c r="H26" s="4" t="s">
        <v>465</v>
      </c>
      <c r="I26" s="4" t="s">
        <v>466</v>
      </c>
      <c r="J26" s="4" t="s">
        <v>467</v>
      </c>
      <c r="K26" s="4" t="s">
        <v>468</v>
      </c>
    </row>
    <row r="28" spans="1:11" x14ac:dyDescent="0.3">
      <c r="A28" s="3" t="s">
        <v>478</v>
      </c>
      <c r="C28" cm="1">
        <f t="array" ref="C28">AVERAGE(VALUE(G1GC_Table[duration_java21_ms]))</f>
        <v>296276.59404684004</v>
      </c>
      <c r="D28" cm="1">
        <f t="array" ref="D28">AVERAGE(VALUE(G1GC_Table[duration_java25_ms]))</f>
        <v>296191.67003743997</v>
      </c>
      <c r="E28" cm="1">
        <f t="array" ref="E28">AVERAGE(VALUE(G1GC_Table[duration_change_percent_java25_vs_java21]))</f>
        <v>-4.3867645612156878E-2</v>
      </c>
      <c r="F28" cm="1">
        <f t="array" ref="F28">AVERAGE(VALUE(G1GC_Table[stw_java21_ms]))</f>
        <v>2862.6072399999998</v>
      </c>
      <c r="G28" cm="1">
        <f t="array" ref="G28">AVERAGE(VALUE(G1GC_Table[stw_java25_ms]))</f>
        <v>2824.7020000000002</v>
      </c>
      <c r="H28" cm="1">
        <f t="array" ref="H28">AVERAGE(VALUE(G1GC_Table[stw_change_percent_java25_vs_java21]))</f>
        <v>6.6854529889982128</v>
      </c>
      <c r="I28" cm="1">
        <f t="array" ref="I28">AVERAGE(VALUE(G1GC_Table[stw_overhead_java21_percent]))</f>
        <v>1.0249434399999999</v>
      </c>
      <c r="J28" cm="1">
        <f t="array" ref="J28">AVERAGE(VALUE(G1GC_Table[stw_overhead_java25_percent]))</f>
        <v>1.0428908000000003</v>
      </c>
      <c r="K28" cm="1">
        <f t="array" ref="K28">AVERAGE(VALUE(G1GC_Table[stw_overhead_diff_percentage_points]))</f>
        <v>1.7947360000000034E-2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A6" zoomScale="82" workbookViewId="0">
      <selection activeCell="A28" sqref="A28:K28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11" width="20" customWidth="1"/>
  </cols>
  <sheetData>
    <row r="1" spans="1:11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</row>
    <row r="3" spans="1:11" x14ac:dyDescent="0.3">
      <c r="A3" s="2" t="s">
        <v>32</v>
      </c>
      <c r="B3" s="2" t="s">
        <v>22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</row>
    <row r="4" spans="1:11" x14ac:dyDescent="0.3">
      <c r="A4" s="2" t="s">
        <v>51</v>
      </c>
      <c r="B4" s="2" t="s">
        <v>22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1" x14ac:dyDescent="0.3">
      <c r="A5" s="2" t="s">
        <v>70</v>
      </c>
      <c r="B5" s="2" t="s">
        <v>22</v>
      </c>
      <c r="C5" s="2" t="s">
        <v>80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87</v>
      </c>
      <c r="K5" s="2" t="s">
        <v>88</v>
      </c>
    </row>
    <row r="6" spans="1:11" x14ac:dyDescent="0.3">
      <c r="A6" s="2" t="s">
        <v>89</v>
      </c>
      <c r="B6" s="2" t="s">
        <v>22</v>
      </c>
      <c r="C6" s="2" t="s">
        <v>99</v>
      </c>
      <c r="D6" s="2" t="s">
        <v>100</v>
      </c>
      <c r="E6" s="2" t="s">
        <v>101</v>
      </c>
      <c r="F6" s="2" t="s">
        <v>102</v>
      </c>
      <c r="G6" s="2" t="s">
        <v>103</v>
      </c>
      <c r="H6" s="2" t="s">
        <v>104</v>
      </c>
      <c r="I6" s="2" t="s">
        <v>105</v>
      </c>
      <c r="J6" s="2" t="s">
        <v>106</v>
      </c>
      <c r="K6" s="2" t="s">
        <v>107</v>
      </c>
    </row>
    <row r="7" spans="1:11" x14ac:dyDescent="0.3">
      <c r="A7" s="2" t="s">
        <v>108</v>
      </c>
      <c r="B7" s="2" t="s">
        <v>22</v>
      </c>
      <c r="C7" s="2" t="s">
        <v>118</v>
      </c>
      <c r="D7" s="2" t="s">
        <v>119</v>
      </c>
      <c r="E7" s="2" t="s">
        <v>120</v>
      </c>
      <c r="F7" s="2" t="s">
        <v>121</v>
      </c>
      <c r="G7" s="2" t="s">
        <v>122</v>
      </c>
      <c r="H7" s="2" t="s">
        <v>123</v>
      </c>
      <c r="I7" s="2" t="s">
        <v>124</v>
      </c>
      <c r="J7" s="2" t="s">
        <v>125</v>
      </c>
      <c r="K7" s="2" t="s">
        <v>126</v>
      </c>
    </row>
    <row r="8" spans="1:11" x14ac:dyDescent="0.3">
      <c r="A8" s="2" t="s">
        <v>127</v>
      </c>
      <c r="B8" s="2" t="s">
        <v>22</v>
      </c>
      <c r="C8" s="2" t="s">
        <v>137</v>
      </c>
      <c r="D8" s="2" t="s">
        <v>138</v>
      </c>
      <c r="E8" s="2" t="s">
        <v>139</v>
      </c>
      <c r="F8" s="2" t="s">
        <v>140</v>
      </c>
      <c r="G8" s="2" t="s">
        <v>141</v>
      </c>
      <c r="H8" s="2" t="s">
        <v>142</v>
      </c>
      <c r="I8" s="2" t="s">
        <v>143</v>
      </c>
      <c r="J8" s="2" t="s">
        <v>144</v>
      </c>
      <c r="K8" s="2" t="s">
        <v>145</v>
      </c>
    </row>
    <row r="9" spans="1:11" x14ac:dyDescent="0.3">
      <c r="A9" s="2" t="s">
        <v>146</v>
      </c>
      <c r="B9" s="2" t="s">
        <v>22</v>
      </c>
      <c r="C9" s="2" t="s">
        <v>156</v>
      </c>
      <c r="D9" s="2" t="s">
        <v>157</v>
      </c>
      <c r="E9" s="2" t="s">
        <v>158</v>
      </c>
      <c r="F9" s="2" t="s">
        <v>159</v>
      </c>
      <c r="G9" s="2" t="s">
        <v>160</v>
      </c>
      <c r="H9" s="2" t="s">
        <v>161</v>
      </c>
      <c r="I9" s="2" t="s">
        <v>162</v>
      </c>
      <c r="J9" s="2" t="s">
        <v>163</v>
      </c>
      <c r="K9" s="2" t="s">
        <v>164</v>
      </c>
    </row>
    <row r="10" spans="1:11" x14ac:dyDescent="0.3">
      <c r="A10" s="2" t="s">
        <v>165</v>
      </c>
      <c r="B10" s="2" t="s">
        <v>22</v>
      </c>
      <c r="C10" s="2" t="s">
        <v>175</v>
      </c>
      <c r="D10" s="2" t="s">
        <v>176</v>
      </c>
      <c r="E10" s="2" t="s">
        <v>177</v>
      </c>
      <c r="F10" s="2" t="s">
        <v>178</v>
      </c>
      <c r="G10" s="2" t="s">
        <v>179</v>
      </c>
      <c r="H10" s="2" t="s">
        <v>180</v>
      </c>
      <c r="I10" s="2" t="s">
        <v>181</v>
      </c>
      <c r="J10" s="2" t="s">
        <v>182</v>
      </c>
      <c r="K10" s="2" t="s">
        <v>183</v>
      </c>
    </row>
    <row r="11" spans="1:11" x14ac:dyDescent="0.3">
      <c r="A11" s="2" t="s">
        <v>184</v>
      </c>
      <c r="B11" s="2" t="s">
        <v>22</v>
      </c>
      <c r="C11" s="2" t="s">
        <v>194</v>
      </c>
      <c r="D11" s="2" t="s">
        <v>195</v>
      </c>
      <c r="E11" s="2" t="s">
        <v>196</v>
      </c>
      <c r="F11" s="2" t="s">
        <v>197</v>
      </c>
      <c r="G11" s="2" t="s">
        <v>198</v>
      </c>
      <c r="H11" s="2" t="s">
        <v>199</v>
      </c>
      <c r="I11" s="2" t="s">
        <v>200</v>
      </c>
      <c r="J11" s="2" t="s">
        <v>201</v>
      </c>
      <c r="K11" s="2" t="s">
        <v>202</v>
      </c>
    </row>
    <row r="12" spans="1:11" x14ac:dyDescent="0.3">
      <c r="A12" s="2" t="s">
        <v>203</v>
      </c>
      <c r="B12" s="2" t="s">
        <v>22</v>
      </c>
      <c r="C12" s="2" t="s">
        <v>213</v>
      </c>
      <c r="D12" s="2" t="s">
        <v>214</v>
      </c>
      <c r="E12" s="2" t="s">
        <v>215</v>
      </c>
      <c r="F12" s="2" t="s">
        <v>216</v>
      </c>
      <c r="G12" s="2" t="s">
        <v>217</v>
      </c>
      <c r="H12" s="2" t="s">
        <v>218</v>
      </c>
      <c r="I12" s="2" t="s">
        <v>219</v>
      </c>
      <c r="J12" s="2" t="s">
        <v>220</v>
      </c>
      <c r="K12" s="2" t="s">
        <v>221</v>
      </c>
    </row>
    <row r="13" spans="1:11" x14ac:dyDescent="0.3">
      <c r="A13" s="2" t="s">
        <v>222</v>
      </c>
      <c r="B13" s="2" t="s">
        <v>22</v>
      </c>
      <c r="C13" s="2" t="s">
        <v>232</v>
      </c>
      <c r="D13" s="2" t="s">
        <v>233</v>
      </c>
      <c r="E13" s="2" t="s">
        <v>234</v>
      </c>
      <c r="F13" s="2" t="s">
        <v>235</v>
      </c>
      <c r="G13" s="2" t="s">
        <v>236</v>
      </c>
      <c r="H13" s="2" t="s">
        <v>237</v>
      </c>
      <c r="I13" s="2" t="s">
        <v>238</v>
      </c>
      <c r="J13" s="2" t="s">
        <v>236</v>
      </c>
      <c r="K13" s="2" t="s">
        <v>239</v>
      </c>
    </row>
    <row r="14" spans="1:11" x14ac:dyDescent="0.3">
      <c r="A14" s="2" t="s">
        <v>240</v>
      </c>
      <c r="B14" s="2" t="s">
        <v>22</v>
      </c>
      <c r="C14" s="2" t="s">
        <v>250</v>
      </c>
      <c r="D14" s="2" t="s">
        <v>251</v>
      </c>
      <c r="E14" s="2" t="s">
        <v>252</v>
      </c>
      <c r="F14" s="2" t="s">
        <v>253</v>
      </c>
      <c r="G14" s="2" t="s">
        <v>254</v>
      </c>
      <c r="H14" s="2" t="s">
        <v>255</v>
      </c>
      <c r="I14" s="2" t="s">
        <v>49</v>
      </c>
      <c r="J14" s="2" t="s">
        <v>256</v>
      </c>
      <c r="K14" s="2" t="s">
        <v>257</v>
      </c>
    </row>
    <row r="15" spans="1:11" x14ac:dyDescent="0.3">
      <c r="A15" s="2" t="s">
        <v>258</v>
      </c>
      <c r="B15" s="2" t="s">
        <v>22</v>
      </c>
      <c r="C15" s="2" t="s">
        <v>268</v>
      </c>
      <c r="D15" s="2" t="s">
        <v>269</v>
      </c>
      <c r="E15" s="2" t="s">
        <v>270</v>
      </c>
      <c r="F15" s="2" t="s">
        <v>271</v>
      </c>
      <c r="G15" s="2" t="s">
        <v>272</v>
      </c>
      <c r="H15" s="2" t="s">
        <v>273</v>
      </c>
      <c r="I15" s="2" t="s">
        <v>163</v>
      </c>
      <c r="J15" s="2" t="s">
        <v>274</v>
      </c>
      <c r="K15" s="2" t="s">
        <v>275</v>
      </c>
    </row>
    <row r="16" spans="1:11" x14ac:dyDescent="0.3">
      <c r="A16" s="2" t="s">
        <v>276</v>
      </c>
      <c r="B16" s="2" t="s">
        <v>22</v>
      </c>
      <c r="C16" s="2" t="s">
        <v>286</v>
      </c>
      <c r="D16" s="2" t="s">
        <v>287</v>
      </c>
      <c r="E16" s="2" t="s">
        <v>288</v>
      </c>
      <c r="F16" s="2" t="s">
        <v>289</v>
      </c>
      <c r="G16" s="2" t="s">
        <v>290</v>
      </c>
      <c r="H16" s="2" t="s">
        <v>291</v>
      </c>
      <c r="I16" s="2" t="s">
        <v>292</v>
      </c>
      <c r="J16" s="2" t="s">
        <v>293</v>
      </c>
      <c r="K16" s="2" t="s">
        <v>294</v>
      </c>
    </row>
    <row r="17" spans="1:11" x14ac:dyDescent="0.3">
      <c r="A17" s="2" t="s">
        <v>295</v>
      </c>
      <c r="B17" s="2" t="s">
        <v>22</v>
      </c>
      <c r="C17" s="2" t="s">
        <v>305</v>
      </c>
      <c r="D17" s="2" t="s">
        <v>306</v>
      </c>
      <c r="E17" s="2" t="s">
        <v>307</v>
      </c>
      <c r="F17" s="2" t="s">
        <v>308</v>
      </c>
      <c r="G17" s="2" t="s">
        <v>309</v>
      </c>
      <c r="H17" s="2" t="s">
        <v>310</v>
      </c>
      <c r="I17" s="2" t="s">
        <v>48</v>
      </c>
      <c r="J17" s="2" t="s">
        <v>311</v>
      </c>
      <c r="K17" s="2" t="s">
        <v>312</v>
      </c>
    </row>
    <row r="18" spans="1:11" x14ac:dyDescent="0.3">
      <c r="A18" s="2" t="s">
        <v>313</v>
      </c>
      <c r="B18" s="2" t="s">
        <v>22</v>
      </c>
      <c r="C18" s="2" t="s">
        <v>323</v>
      </c>
      <c r="D18" s="2" t="s">
        <v>324</v>
      </c>
      <c r="E18" s="2" t="s">
        <v>325</v>
      </c>
      <c r="F18" s="2" t="s">
        <v>326</v>
      </c>
      <c r="G18" s="2" t="s">
        <v>327</v>
      </c>
      <c r="H18" s="2" t="s">
        <v>328</v>
      </c>
      <c r="I18" s="2" t="s">
        <v>329</v>
      </c>
      <c r="J18" s="2" t="s">
        <v>330</v>
      </c>
      <c r="K18" s="2" t="s">
        <v>126</v>
      </c>
    </row>
    <row r="19" spans="1:11" x14ac:dyDescent="0.3">
      <c r="A19" s="2" t="s">
        <v>331</v>
      </c>
      <c r="B19" s="2" t="s">
        <v>22</v>
      </c>
      <c r="C19" s="2" t="s">
        <v>341</v>
      </c>
      <c r="D19" s="2" t="s">
        <v>342</v>
      </c>
      <c r="E19" s="2" t="s">
        <v>343</v>
      </c>
      <c r="F19" s="2" t="s">
        <v>344</v>
      </c>
      <c r="G19" s="2" t="s">
        <v>345</v>
      </c>
      <c r="H19" s="2" t="s">
        <v>346</v>
      </c>
      <c r="I19" s="2" t="s">
        <v>347</v>
      </c>
      <c r="J19" s="2" t="s">
        <v>163</v>
      </c>
      <c r="K19" s="2" t="s">
        <v>348</v>
      </c>
    </row>
    <row r="20" spans="1:11" x14ac:dyDescent="0.3">
      <c r="A20" s="2" t="s">
        <v>349</v>
      </c>
      <c r="B20" s="2" t="s">
        <v>22</v>
      </c>
      <c r="C20" s="2" t="s">
        <v>359</v>
      </c>
      <c r="D20" s="2" t="s">
        <v>360</v>
      </c>
      <c r="E20" s="2" t="s">
        <v>361</v>
      </c>
      <c r="F20" s="2" t="s">
        <v>362</v>
      </c>
      <c r="G20" s="2" t="s">
        <v>363</v>
      </c>
      <c r="H20" s="2" t="s">
        <v>364</v>
      </c>
      <c r="I20" s="2" t="s">
        <v>365</v>
      </c>
      <c r="J20" s="2" t="s">
        <v>366</v>
      </c>
      <c r="K20" s="2" t="s">
        <v>367</v>
      </c>
    </row>
    <row r="21" spans="1:11" x14ac:dyDescent="0.3">
      <c r="A21" s="2" t="s">
        <v>368</v>
      </c>
      <c r="B21" s="2" t="s">
        <v>22</v>
      </c>
      <c r="C21" s="2" t="s">
        <v>378</v>
      </c>
      <c r="D21" s="2" t="s">
        <v>379</v>
      </c>
      <c r="E21" s="2" t="s">
        <v>380</v>
      </c>
      <c r="F21" s="2" t="s">
        <v>381</v>
      </c>
      <c r="G21" s="2" t="s">
        <v>83</v>
      </c>
      <c r="H21" s="2" t="s">
        <v>382</v>
      </c>
      <c r="I21" s="2" t="s">
        <v>383</v>
      </c>
      <c r="J21" s="2" t="s">
        <v>384</v>
      </c>
      <c r="K21" s="2" t="s">
        <v>385</v>
      </c>
    </row>
    <row r="22" spans="1:11" x14ac:dyDescent="0.3">
      <c r="A22" s="2" t="s">
        <v>386</v>
      </c>
      <c r="B22" s="2" t="s">
        <v>22</v>
      </c>
      <c r="C22" s="2" t="s">
        <v>396</v>
      </c>
      <c r="D22" s="2" t="s">
        <v>397</v>
      </c>
      <c r="E22" s="2" t="s">
        <v>398</v>
      </c>
      <c r="F22" s="2" t="s">
        <v>235</v>
      </c>
      <c r="G22" s="2" t="s">
        <v>399</v>
      </c>
      <c r="H22" s="2" t="s">
        <v>400</v>
      </c>
      <c r="I22" s="2" t="s">
        <v>401</v>
      </c>
      <c r="J22" s="2" t="s">
        <v>181</v>
      </c>
      <c r="K22" s="2" t="s">
        <v>402</v>
      </c>
    </row>
    <row r="23" spans="1:11" x14ac:dyDescent="0.3">
      <c r="A23" s="2" t="s">
        <v>403</v>
      </c>
      <c r="B23" s="2" t="s">
        <v>22</v>
      </c>
      <c r="C23" s="2" t="s">
        <v>413</v>
      </c>
      <c r="D23" s="2" t="s">
        <v>414</v>
      </c>
      <c r="E23" s="2" t="s">
        <v>415</v>
      </c>
      <c r="F23" s="2" t="s">
        <v>416</v>
      </c>
      <c r="G23" s="2" t="s">
        <v>417</v>
      </c>
      <c r="H23" s="2" t="s">
        <v>418</v>
      </c>
      <c r="I23" s="2" t="s">
        <v>419</v>
      </c>
      <c r="J23" s="2" t="s">
        <v>420</v>
      </c>
      <c r="K23" s="2" t="s">
        <v>421</v>
      </c>
    </row>
    <row r="24" spans="1:11" x14ac:dyDescent="0.3">
      <c r="A24" s="2" t="s">
        <v>422</v>
      </c>
      <c r="B24" s="2" t="s">
        <v>22</v>
      </c>
      <c r="C24" s="2" t="s">
        <v>432</v>
      </c>
      <c r="D24" s="2" t="s">
        <v>433</v>
      </c>
      <c r="E24" s="2" t="s">
        <v>434</v>
      </c>
      <c r="F24" s="2" t="s">
        <v>435</v>
      </c>
      <c r="G24" s="2" t="s">
        <v>436</v>
      </c>
      <c r="H24" s="2" t="s">
        <v>437</v>
      </c>
      <c r="I24" s="2" t="s">
        <v>438</v>
      </c>
      <c r="J24" s="2" t="s">
        <v>439</v>
      </c>
      <c r="K24" s="2" t="s">
        <v>440</v>
      </c>
    </row>
    <row r="25" spans="1:11" x14ac:dyDescent="0.3">
      <c r="A25" s="2" t="s">
        <v>441</v>
      </c>
      <c r="B25" s="2" t="s">
        <v>22</v>
      </c>
      <c r="C25" s="2" t="s">
        <v>451</v>
      </c>
      <c r="D25" s="2" t="s">
        <v>452</v>
      </c>
      <c r="E25" s="2" t="s">
        <v>453</v>
      </c>
      <c r="F25" s="2" t="s">
        <v>454</v>
      </c>
      <c r="G25" s="2" t="s">
        <v>455</v>
      </c>
      <c r="H25" s="2" t="s">
        <v>456</v>
      </c>
      <c r="I25" s="2" t="s">
        <v>457</v>
      </c>
      <c r="J25" s="2" t="s">
        <v>458</v>
      </c>
      <c r="K25" s="2" t="s">
        <v>48</v>
      </c>
    </row>
    <row r="26" spans="1:11" x14ac:dyDescent="0.3">
      <c r="A26" s="2" t="s">
        <v>459</v>
      </c>
      <c r="B26" s="2" t="s">
        <v>22</v>
      </c>
      <c r="C26" s="2" t="s">
        <v>469</v>
      </c>
      <c r="D26" s="2" t="s">
        <v>470</v>
      </c>
      <c r="E26" s="2" t="s">
        <v>471</v>
      </c>
      <c r="F26" s="2" t="s">
        <v>472</v>
      </c>
      <c r="G26" s="2" t="s">
        <v>473</v>
      </c>
      <c r="H26" s="2" t="s">
        <v>474</v>
      </c>
      <c r="I26" s="2" t="s">
        <v>293</v>
      </c>
      <c r="J26" s="2" t="s">
        <v>475</v>
      </c>
      <c r="K26" s="2" t="s">
        <v>476</v>
      </c>
    </row>
    <row r="28" spans="1:11" x14ac:dyDescent="0.3">
      <c r="A28" s="3" t="s">
        <v>477</v>
      </c>
      <c r="C28" cm="1">
        <f t="array" ref="C28">AVERAGE(VALUE(ZGC_Table[duration_java21_ms]))</f>
        <v>296455.97134668002</v>
      </c>
      <c r="D28" cm="1">
        <f t="array" ref="D28">AVERAGE(VALUE(ZGC_Table[duration_java25_ms]))</f>
        <v>297079.08992351999</v>
      </c>
      <c r="E28" cm="1">
        <f t="array" ref="E28">AVERAGE(VALUE(ZGC_Table[duration_change_percent_java25_vs_java21]))</f>
        <v>0.19029174895017595</v>
      </c>
      <c r="F28" cm="1">
        <f t="array" ref="F28">AVERAGE(VALUE(ZGC_Table[stw_java21_ms]))</f>
        <v>0.54132000000000002</v>
      </c>
      <c r="G28" cm="1">
        <f t="array" ref="G28">AVERAGE(VALUE(ZGC_Table[stw_java25_ms]))</f>
        <v>0.70716000000000012</v>
      </c>
      <c r="H28" cm="1">
        <f t="array" ref="H28">AVERAGE(VALUE(ZGC_Table[stw_change_percent_java25_vs_java21]))</f>
        <v>19.101633731041968</v>
      </c>
      <c r="I28" cm="1">
        <f t="array" ref="I28">AVERAGE(VALUE(ZGC_Table[stw_overhead_java21_percent]))</f>
        <v>1.8484E-4</v>
      </c>
      <c r="J28" cm="1">
        <f t="array" ref="J28">AVERAGE(VALUE(ZGC_Table[stw_overhead_java25_percent]))</f>
        <v>2.3939999999999999E-4</v>
      </c>
      <c r="K28" cm="1">
        <f t="array" ref="K28">AVERAGE(VALUE(ZGC_Table[stw_overhead_diff_percentage_points]))</f>
        <v>5.4559999999999999E-5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Original</vt:lpstr>
      <vt:lpstr>G1GC</vt:lpstr>
      <vt:lpstr>ZGC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Horváth-Szarka Ábel</cp:lastModifiedBy>
  <dcterms:modified xsi:type="dcterms:W3CDTF">2026-05-04T15:18:08Z</dcterms:modified>
</cp:coreProperties>
</file>